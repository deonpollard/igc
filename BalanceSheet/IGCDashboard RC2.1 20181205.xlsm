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C:\Projects\Endeavors\IGC\"/>
    </mc:Choice>
  </mc:AlternateContent>
  <xr:revisionPtr revIDLastSave="0" documentId="13_ncr:1_{0D9CC756-4FAC-47A7-ACED-76101C547C48}" xr6:coauthVersionLast="38" xr6:coauthVersionMax="38" xr10:uidLastSave="{00000000-0000-0000-0000-000000000000}"/>
  <bookViews>
    <workbookView xWindow="240" yWindow="78" windowWidth="20118" windowHeight="7998" activeTab="3" xr2:uid="{00000000-000D-0000-FFFF-FFFF00000000}"/>
  </bookViews>
  <sheets>
    <sheet name="Start" sheetId="6" r:id="rId1"/>
    <sheet name="1. Add" sheetId="7" r:id="rId2"/>
    <sheet name="2. Fill" sheetId="8" r:id="rId3"/>
    <sheet name="3. Use" sheetId="2" r:id="rId4"/>
    <sheet name="Types" sheetId="4" state="hidden" r:id="rId5"/>
    <sheet name="Sheet1" sheetId="1" state="hidden" r:id="rId6"/>
  </sheets>
  <functionGroups builtInGroupCount="19"/>
  <definedNames>
    <definedName name="Response">'3. Use'!$P$5</definedName>
    <definedName name="Status">'3. Use'!$O$5</definedName>
    <definedName name="Types">Type_Table[]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8" i="2" l="1"/>
  <c r="H10" i="2" l="1"/>
  <c r="H11" i="2"/>
  <c r="H12" i="2"/>
  <c r="H13" i="2"/>
  <c r="H14" i="2"/>
  <c r="H15" i="2"/>
  <c r="H16" i="2"/>
  <c r="H17" i="2"/>
  <c r="H18" i="2"/>
  <c r="H9" i="2"/>
  <c r="H7" i="2"/>
  <c r="H6" i="2"/>
  <c r="H8" i="2" s="1"/>
  <c r="R2" i="2"/>
  <c r="P2" i="2"/>
  <c r="P1" i="2"/>
  <c r="D42" i="7"/>
  <c r="E16" i="2" l="1"/>
  <c r="E17" i="2"/>
  <c r="E18" i="2"/>
  <c r="G19" i="2" l="1"/>
  <c r="F8" i="2"/>
  <c r="F19" i="2" l="1"/>
  <c r="H19" i="2"/>
</calcChain>
</file>

<file path=xl/sharedStrings.xml><?xml version="1.0" encoding="utf-8"?>
<sst xmlns="http://schemas.openxmlformats.org/spreadsheetml/2006/main" count="483" uniqueCount="445">
  <si>
    <t>term</t>
  </si>
  <si>
    <t>https://codebeautify.org/jsonviewer#</t>
  </si>
  <si>
    <t>user</t>
  </si>
  <si>
    <t>{"items":[{"_type":"term","short_description":"","_id":"6662c0f2.e1b1ec6c.7666454b.5b03815b-33b2-42a2.b191.4a3b9e4a91d9","_context":[{"_type":"category","_id":"6662c0f2.ee6a64fe.c01c54b.d18d42d1-69ee-4ecc.82fd.f1dcd3f1fd3a","_url":"https://localhost:9443/ibm/iis/igc-rest/v1/assets/6662c0f2.ee6a64fe.c01c54b.d18d42d1-69ee-4ecc.82fd.f1dcd3f1fd3a","_name":"Involved Party"}],"status":"CANDIDATE","_url":"https://localhost:9443/ibm/iis/igc-rest/v1/assets/6662c0f2.e1b1ec6c.7666454b.5b03815b-33b2-42a2.b191.4a3b9e4a91d9","_name":"10,001 to 30,000 Area Units"},{"_type":"term","short_description":"","_id":"6662c0f2.e1b1ec6c.70b7454b.612f7d61-ed70-40d2.9b7e.b256acb27e56","_context":[{"_type":"category","_id":"6662c0f2.ee6a64fe.c01c54b.d18d42d1-69ee-4ecc.82fd.f1dcd3f1fd3a","_url":"https://localhost:9443/ibm/iis/igc-rest/v1/assets/6662c0f2.ee6a64fe.c01c54b.d18d42d1-69ee-4ecc.82fd.f1dcd3f1fd3a","_name":"Involved Party"}],"status":"CANDIDATE","_url":"https://localhost:9443/ibm/iis/igc-rest/v1/assets/6662c0f2.e1b1ec6c.70b7454b.612f7d61-ed70-40d2.9b7e.b256acb27e56","_name":"100,001 to 150,000 Area Units"},{"_type":"term","short_description":"","_id":"6662c0f2.e1b1ec6c.163bc548.de6ca8de-10ec-4cda.ad5b.3acaf53a5b48","_context":[{"_type":"category","_id":"6662c0f2.ee6a64fe.c01c54b.d18d42d1-69ee-4ecc.82fd.f1dcd3f1fd3a","_url":"https://localhost:9443/ibm/iis/igc-rest/v1/assets/6662c0f2.ee6a64fe.c01c54b.d18d42d1-69ee-4ecc.82fd.f1dcd3f1fd3a","_name":"Involved Party"}],"status":"CANDIDATE","_url":"https://localhost:9443/ibm/iis/igc-rest/v1/assets/6662c0f2.e1b1ec6c.163bc548.de6ca8de-10ec-4cda.ad5b.3acaf53a5b48","_name":"100,001 To 150,000 Units"},{"_type":"term","short_description":"","_id":"6662c0f2.e1b1ec6c.17904548.4e1b1a4e-f714-44f5.8af0.1adda91af046","_context":[{"_type":"category","_id":"6662c0f2.ee6a64fe.c01c54b.d18d42d1-69ee-4ecc.82fd.f1dcd3f1fd3a","_url":"https://localhost:9443/ibm/iis/igc-rest/v1/assets/6662c0f2.ee6a64fe.c01c54b.d18d42d1-69ee-4ecc.82fd.f1dcd3f1fd3a","_name":"Involved Party"}],"status":"CANDIDATE","_url":"https://localhost:9443/ibm/iis/igc-rest/v1/assets/6662c0f2.e1b1ec6c.17904548.4e1b1a4e-f714-44f5.8af0.1adda91af046","_name":"150,001 To 200,000 Units"},{"_type":"term","short_description":"","_id":"6662c0f2.e1b1ec6c.b040548.a849c8a8-fd51-41a2.b7b3.71fc4471b341","_context":[{"_type":"category","_id":"6662c0f2.ee6a64fe.c01c54b.d18d42d1-69ee-4ecc.82fd.f1dcd3f1fd3a","_url":"https://localhost:9443/ibm/iis/igc-rest/v1/assets/6662c0f2.ee6a64fe.c01c54b.d18d42d1-69ee-4ecc.82fd.f1dcd3f1fd3a","_name":"Involved Party"}],"status":"CANDIDATE","_url":"https://localhost:9443/ibm/iis/igc-rest/v1/assets/6662c0f2.e1b1ec6c.b040548.a849c8a8-fd51-41a2.b7b3.71fc4471b341","_name":"30,001 to 60,000 Area Units"},{"_type":"term","short_description":"","_id":"6662c0f2.e1b1ec6c.2a638548.f623a5f6-5480-4050.b4c7.6662a966c773","_context":[{"_type":"category","_id":"6662c0f2.ee6a64fe.c01c54b.d18d42d1-69ee-4ecc.82fd.f1dcd3f1fd3a","_url":"https://localhost:9443/ibm/iis/igc-rest/v1/assets/6662c0f2.ee6a64fe.c01c54b.d18d42d1-69ee-4ecc.82fd.f1dcd3f1fd3a","_name":"Involved Party"}],"status":"CANDIDATE","_url":"https://localhost:9443/ibm/iis/igc-rest/v1/assets/6662c0f2.e1b1ec6c.2a638548.f623a5f6-5480-4050.b4c7.6662a966c773","_name":"50,001 To 100,000 Units"},{"_type":"term","short_description":"","_id":"6662c0f2.e1b1ec6c.74fc854b.738e1073-3e8d-4ddd.8904.af6bf0af04f4","_context":[{"_type":"category","_id":"6662c0f2.ee6a64fe.c01c54b.d18d42d1-69ee-4ecc.82fd.f1dcd3f1fd3a","_url":"https://localhost:9443/ibm/iis/igc-rest/v1/assets/6662c0f2.ee6a64fe.c01c54b.d18d42d1-69ee-4ecc.82fd.f1dcd3f1fd3a","_name":"Involved Party"}],"status":"CANDIDATE","_url":"https://localhost:9443/ibm/iis/igc-rest/v1/assets/6662c0f2.e1b1ec6c.74fc854b.738e1073-3e8d-4ddd.8904.af6bf0af04f4","_name":"60,001 to 100,000 Area Units"},{"_type":"term","short_description":"","_id":"6662c0f2.e1b1ec6c.6bfc454a.0487f704-84cb-4b30.a26e.11623d116e22","_context":[{"_type":"category","_id":"6662c0f2.ee6a64fe.c01c54b.d18d42d1-69ee-4ecc.82fd.f1dcd3f1fd3a","_url":"https://localhost:9443/ibm/iis/igc-rest/v1/assets/6662c0f2.ee6a64fe.c01c54b.d18d42d1-69ee-4ecc.82fd.f1dcd3f1fd3a","_name":"Involved Party"},{"_type":"category","_id":"6662c0f2.ee6a64fe.643c8537.0244b902-b6cd-4dfe.b197.71f99c7197ac","_url":"https://localhost:9443/ibm/iis/igc-rest/v1/assets/6662c0f2.ee6a64fe.643c8537.0244b902-b6cd-4dfe.b197.71f99c7197ac","_name":"Involved Party Descriptors"}],"status":"CANDIDATE","_url":"https://localhost:9443/ibm/iis/igc-rest/v1/assets/6662c0f2.e1b1ec6c.6bfc454a.0487f704-84cb-4b30.a26e.11623d116e22","_name":"Abdominal Fat Flag"},{"_type":"term","short_description":"","_id":"6662c0f2.e1b1ec6c.6a07c54a.e9d01ae9-dac2-42a1.91b1.12658712b199","_context":[{"_type":"category","_id":"6662c0f2.ee6a64fe.c01c54b.d18d42d1-69ee-4ecc.82fd.f1dcd3f1fd3a","_url":"https://localhost:9443/ibm/iis/igc-rest/v1/assets/6662c0f2.ee6a64fe.c01c54b.d18d42d1-69ee-4ecc.82fd.f1dcd3f1fd3a","_name":"Involved Party"},{"_type":"category","_id":"6662c0f2.ee6a64fe.643c8537.0244b902-b6cd-4dfe.b197.71f99c7197ac","_url":"https://localhost:9443/ibm/iis/igc-rest/v1/assets/6662c0f2.ee6a64fe.643c8537.0244b902-b6cd-4dfe.b197.71f99c7197ac","_name":"Involved Party Descriptors"}],"status":"CANDIDATE","_url":"https://localhost:9443/ibm/iis/igc-rest/v1/assets/6662c0f2.e1b1ec6c.6a07c54a.e9d01ae9-dac2-42a1.91b1.12658712b199","_name":"Abdominal Measurement"},{"_type":"term","short_description":"","_id":"6662c0f2.e1b1ec6c.6995854b.c5654cc5-3fea-4a25.a6c8.54354354c849","_context":[{"_type":"category","_id":"6662c0f2.ee6a64fe.c01c54b.d18d42d1-69ee-4ecc.82fd.f1dcd3f1fd3a","_url":"https://localhost:9443/ibm/iis/igc-rest/v1/assets/6662c0f2.ee6a64fe.c01c54b.d18d42d1-69ee-4ecc.82fd.f1dcd3f1fd3a","_name":"Involved Party"}],"status":"CANDIDATE","_url":"https://localhost:9443/ibm/iis/igc-rest/v1/assets/6662c0f2.e1b1ec6c.6995854b.c5654cc5-3fea-4a25.a6c8.54354354c849","_name":"Aboriginal"}],"paging":{"numTotal":1107,"next":"https://localhost:9443/ibm/iis/igc-rest/v1/search?types=term&amp;begin=10","pageSize":10,"end":9,"begin":0}}</t>
  </si>
  <si>
    <t>{"items":[{"_type":"steward_user","_id":"b1c497ce.285feb.0015o7fh0.pukl6ph.s8ndsv.sqij62hg7b1u6g0s9jgv000","_context":[],"principal_id":"isadmin","_url":"https://localhost:9443/ibm/iis/igc-rest/v1/assets/b1c497ce.285feb.0015o7fh0.pukl6ph.s8ndsv.sqij62hg7b1u6g0s9jgv000","_name":"Harold Smith"},{"_type":"non_steward_user","_id":"b1c497ce.285feb.0015oopbb.flru4ea.q0aedt.o3ge3dqglst5546nl6srcfi","_context":[],"_url":"https://localhost:9443/ibm/iis/igc-rest/v1/assets/b1c497ce.285feb.0015oopbb.flru4ea.q0aedt.o3ge3dqglst5546nl6srcfi","_name":"IGC Authoring Role"},{"_type":"non_steward_user","_id":"b1c497ce.285feb.0015oopa7.m0mq6ut.f3uocd.jslcui6s7iq2cvk2kb74gfi","_context":[],"_url":"https://localhost:9443/ibm/iis/igc-rest/v1/assets/b1c497ce.285feb.0015oopa7.m0mq6ut.f3uocd.jslcui6s7iq2cvk2kb74gfi","_name":"IGC User Role"},{"_type":"steward_user","_id":"b1c497ce.285feb.6ulkum9l2.qo4eku2.psfgsk.jmc0mn3ehjgk1ir030l2ltu","_context":[],"principal_id":"Jackie","_url":"https://localhost:9443/ibm/iis/igc-rest/v1/assets/b1c497ce.285feb.6ulkum9l2.qo4eku2.psfgsk.jmc0mn3ehjgk1ir030l2ltu","_name":"Ms. Jackie Smith"},{"_type":"steward_user","_id":"b1c497ce.285feb.6ulkum9m6.2e8c6md.nnsr6j.8jahjnek7b11pv4jip4j7tu","_context":[],"principal_id":"Stewart","_url":"https://localhost:9443/ibm/iis/igc-rest/v1/assets/b1c497ce.285feb.6ulkum9m6.2e8c6md.nnsr6j.8jahjnek7b11pv4jip4j7tu","_name":"Mr. Stewart Jones"}],"paging":{"numTotal":5,"pageSize":10,"end":4,"begin":0}}</t>
  </si>
  <si>
    <t>Users</t>
  </si>
  <si>
    <t>Asset Type</t>
  </si>
  <si>
    <t>Asset ID</t>
  </si>
  <si>
    <t>category</t>
  </si>
  <si>
    <t>database</t>
  </si>
  <si>
    <t>application</t>
  </si>
  <si>
    <t>Terms</t>
  </si>
  <si>
    <t>Categories</t>
  </si>
  <si>
    <t>Glossary Subtotal</t>
  </si>
  <si>
    <t>Databases</t>
  </si>
  <si>
    <t>Applications</t>
  </si>
  <si>
    <t>{"items":[{"_type":"category","custom_Implements Job":{"items":[],"paging":{"numTotal":0,"pageSize":0,"end":-1,"begin":0}},"short_description":"Set of Terms relating to: EDW","_id":"6662c0f2.ee6a64fe.0015vqcen.fkjl7u8.ttvr10.nj3j4uvoulpigl92m77fn","_context":[{"_type":"category","_id":"6662c0f2.ee6a64fe.0015vqcen.fkjljoc.n82r3h.4445i2rtqtdrasa30iucf","_url":"https://localhost:9443/ibm/iis/igc-rest/v1/assets/6662c0f2.ee6a64fe.0015vqcen.fkjljoc.n82r3h.4445i2rtqtdrasa30iucf","_name":"ProjectCategory"}],"_url":"https://localhost:9443/ibm/iis/igc-rest/v1/assets/6662c0f2.ee6a64fe.0015vqcen.fkjl7u8.ttvr10.nj3j4uvoulpigl92m77fn","_name":"EDW"},{"_type":"category","custom_Implements Job":{"items":[],"paging":{"numTotal":0,"pageSize":0,"end":-1,"begin":0}},"short_description":"Additional Information About the employee ","_id":"6662c0f2.ee6a64fe.6d2k1g9fc.psd9ch8.2lrdeq.0j1iddeahjv827uqnskts","_context":[{"_type":"category","_id":"6662c0f2.ee6a64fe.c01c54b.d18d42d1-69ee-4ecc.82fd.f1dcd3f1fd3a","_url":"https://localhost:9443/ibm/iis/igc-rest/v1/assets/6662c0f2.ee6a64fe.c01c54b.d18d42d1-69ee-4ecc.82fd.f1dcd3f1fd3a","_name":"Involved Party"},{"_type":"category","_id":"6662c0f2.ee6a64fe.643c8537.0244b902-b6cd-4dfe.b197.71f99c7197ac","_url":"https://localhost:9443/ibm/iis/igc-rest/v1/assets/6662c0f2.ee6a64fe.643c8537.0244b902-b6cd-4dfe.b197.71f99c7197ac","_name":"Involved Party Descriptors"}],"_url":"https://localhost:9443/ibm/iis/igc-rest/v1/assets/6662c0f2.ee6a64fe.6d2k1g9fc.psd9ch8.2lrdeq.0j1iddeahjv827uqnskts","_name":"Employee_Machinery"},{"_type":"category","custom_Implements Job":{"items":[],"paging":{"numTotal":0,"pageSize":0,"end":-1,"begin":0}},"short_description":"Set of Terms relating to: GDPRforCRM","_id":"6662c0f2.ee6a64fe.00161qijd.hv06ok4.2ads09.islio3h4ms4lm37irv964","_context":[{"_type":"category","_id":"6662c0f2.ee6a64fe.0015vqcen.fkjljoc.n82r3h.4445i2rtqtdrasa30iucf","_url":"https://localhost:9443/ibm/iis/igc-rest/v1/assets/6662c0f2.ee6a64fe.0015vqcen.fkjljoc.n82r3h.4445i2rtqtdrasa30iucf","_name":"ProjectCategory"}],"_url":"https://localhost:9443/ibm/iis/igc-rest/v1/assets/6662c0f2.ee6a64fe.00161qijd.hv06ok4.2ads09.islio3h4ms4lm37irv964","_name":"GDPRforCRM"},{"_type":"category","custom_Implements Job":{"items":[],"paging":{"numTotal":0,"pageSize":0,"end":-1,"begin":0}},"short_description":"Set of Terms relating to: Interface","_id":"6662c0f2.ee6a64fe.0016bra8e.4m0jrvs.2nifmm.m5bk070fvnmfff6t7m881","_context":[{"_type":"category","_id":"6662c0f2.ee6a64fe.0015vqcen.fkjljoc.n82r3h.4445i2rtqtdrasa30iucf","_url":"https://localhost:9443/ibm/iis/igc-rest/v1/assets/6662c0f2.ee6a64fe.0015vqcen.fkjljoc.n82r3h.4445i2rtqtdrasa30iucf","_name":"ProjectCategory"}],"_url":"https://localhost:9443/ibm/iis/igc-rest/v1/assets/6662c0f2.ee6a64fe.0016bra8e.4m0jrvs.2nifmm.m5bk070fvnmfff6t7m881","_name":"Interface"},{"_type":"category","custom_Implements Job":{"items":[],"paging":{"numTotal":0,"pageSize":0,"end":-1,"begin":0}},"short_description":"Set of Terms relating to: Projects","_id":"6662c0f2.ee6a64fe.c01c54b.d18d42d1-69ee-4ecc.82fd.f1dcd3f1fd3a","_context":[],"_url":"https://localhost:9443/ibm/iis/igc-rest/v1/assets/6662c0f2.ee6a64fe.c01c54b.d18d42d1-69ee-4ecc.82fd.f1dcd3f1fd3a","_name":"Involved Party"},{"_type":"category","custom_Implements Job":{"items":[],"paging":{"numTotal":0,"pageSize":0,"end":-1,"begin":0}},"short_description":"","_id":"6662c0f2.ee6a64fe.45690548.1d452e1d-87a8-48c4.844b.44ada8444b73","_context":[{"_type":"category","_id":"6662c0f2.ee6a64fe.c01c54b.d18d42d1-69ee-4ecc.82fd.f1dcd3f1fd3a","_url":"https://localhost:9443/ibm/iis/igc-rest/v1/assets/6662c0f2.ee6a64fe.c01c54b.d18d42d1-69ee-4ecc.82fd.f1dcd3f1fd3a","_name":"Involved Party"}],"_url":"https://localhost:9443/ibm/iis/igc-rest/v1/assets/6662c0f2.ee6a64fe.45690548.1d452e1d-87a8-48c4.844b.44ada8444b73","_name":"Involved Party Classifiers"},{"_type":"category","custom_Implements Job":{"items":[],"paging":{"numTotal":0,"pageSize":0,"end":-1,"begin":0}},"short_description":"","_id":"6662c0f2.ee6a64fe.643c8537.0244b902-b6cd-4dfe.b197.71f99c7197ac","_context":[{"_type":"category","_id":"6662c0f2.ee6a64fe.c01c54b.d18d42d1-69ee-4ecc.82fd.f1dcd3f1fd3a","_url":"https://localhost:9443/ibm/iis/igc-rest/v1/assets/6662c0f2.ee6a64fe.c01c54b.d18d42d1-69ee-4ecc.82fd.f1dcd3f1fd3a","_name":"Involved Party"}],"_url":"https://localhost:9443/ibm/iis/igc-rest/v1/assets/6662c0f2.ee6a64fe.643c8537.0244b902-b6cd-4dfe.b197.71f99c7197ac","_name":"Involved Party Descriptors"},{"_type":"category","custom_Implements Job":{"items":[],"paging":{"numTotal":0,"pageSize":0,"end":-1,"begin":0}},"short_description":"","_id":"6662c0f2.ee6a64fe.0015vhahi.2tbknho.t9j7c2.0d27rku431r7r4a42b4bd","_context":[],"_url":"https://localhost:9443/ibm/iis/igc-rest/v1/assets/6662c0f2.ee6a64fe.0015vhahi.2tbknho.t9j7c2.0d27rku431r7r4a42b4bd","_name":"MySolvency"},{"_type":"category","custom_Implements Job":{"items":[],"paging":{"numTotal":0,"pageSize":0,"end":-1,"begin":0}},"short_description":"Set of Terms relating to: P1","_id":"6662c0f2.ee6a64fe.0016bsbqq.9gkr5q4.6nol1b.2uhtf7b3ncggokk9qtqv7","_context":[{"_type":"category","_id":"6662c0f2.ee6a64fe.c01c54b.d18d42d1-69ee-4ecc.82fd.f1dcd3f1fd3a","_url":"https://localhost:9443/ibm/iis/igc-rest/v1/assets/6662c0f2.ee6a64fe.c01c54b.d18d42d1-69ee-4ecc.82fd.f1dcd3f1fd3a","_name":"Involved Party"}],"_url":"https://localhost:9443/ibm/iis/igc-rest/v1/assets/6662c0f2.ee6a64fe.0016bsbqq.9gkr5q4.6nol1b.2uhtf7b3ncggokk9qtqv7","_name":"P1"},{"_type":"category","custom_Implements Job":{"items":[],"paging":{"numTotal":0,"pageSize":0,"end":-1,"begin":0}},"short_description":"Set of Terms relating to: P1P1","_id":"6662c0f2.ee6a64fe.0016bsbqq.9gkrj9c.a2hotm.0f125keua9g2jfb3dfvkn","_context":[{"_type":"category","_id":"6662c0f2.ee6a64fe.c01c54b.d18d42d1-69ee-4ecc.82fd.f1dcd3f1fd3a","_url":"https://localhost:9443/ibm/iis/igc-rest/v1/assets/6662c0f2.ee6a64fe.c01c54b.d18d42d1-69ee-4ecc.82fd.f1dcd3f1fd3a","_name":"Involved Party"},{"_type":"category","_id":"6662c0f2.ee6a64fe.0016bsbqq.9gkr5q4.6nol1b.2uhtf7b3ncggokk9qtqv7","_url":"https://localhost:9443/ibm/iis/igc-rest/v1/assets/6662c0f2.ee6a64fe.0016bsbqq.9gkr5q4.6nol1b.2uhtf7b3ncggokk9qtqv7","_name":"P1"}],"_url":"https://localhost:9443/ibm/iis/igc-rest/v1/assets/6662c0f2.ee6a64fe.0016bsbqq.9gkrj9c.a2hotm.0f125keua9g2jfb3dfvkn","_name":"P1P1"}],"paging":{"numTotal":14,"next":"https://localhost:9443/ibm/iis/igc-rest/v1/search?types=category&amp;begin=10","pageSize":10,"end":9,"begin":0}}</t>
  </si>
  <si>
    <t>{"items":[{"_type":"database","short_description":"","_id":"b1c497ce.6e83759b.6ulkumajg.ajn1bpt.67e7m2.gh27i78t9d0g904bre62k","_context":[{"_type":"host","_id":"b1c497ce.354f5217.6ulkuj781.2s770al.7ppa7k.uu5t6dgc0jtnj2ok7asdh","_url":"https://localhost:9443/ibm/iis/igc-rest/v1/assets/b1c497ce.354f5217.6ulkuj781.2s770al.7ppa7k.uu5t6dgc0jtnj2ok7asdh","_name":"BI Server"}],"_url":"https://localhost:9443/ibm/iis/igc-rest/v1/assets/b1c497ce.6e83759b.6ulkumajg.ajn1bpt.67e7m2.gh27i78t9d0g904bre62k","_name":"BI Mart","dbms":"Cognos","dbms_server_instance":""},{"_type":"database","short_description":"","_id":"b1c497ce.6e83759b.000lek770.e26nsgi.g4vjie.cnjeiu3mqlgbgr92af8mj","_context":[{"_type":"host","_id":"b1c497ce.354f5217.000ldba07.rnu76qk.iuuadr.20r8gc73gj7jhme7224sl","_url":"https://localhost:9443/ibm/iis/igc-rest/v1/assets/b1c497ce.354f5217.000ldba07.rnu76qk.iuuadr.20r8gc73gj7jhme7224sl","_name":"Data Server"}],"_url":"https://localhost:9443/ibm/iis/igc-rest/v1/assets/b1c497ce.6e83759b.000lek770.e26nsgi.g4vjie.cnjeiu3mqlgbgr92af8mj","_name":"DW","dbms":"DB2","dbms_server_instance":"DB2"},{"_type":"database","short_description":"","_id":"b1c497ce.6e83759b.000ldba2r.k8p0fdk.kuhdm4.j9k3pbavn0k6lbc3or9ka","_context":[{"_type":"host","_id":"b1c497ce.354f5217.000ldba07.rnu76qk.iuuadr.20r8gc73gj7jhme7224sl","_url":"https://localhost:9443/ibm/iis/igc-rest/v1/assets/b1c497ce.354f5217.000ldba07.rnu76qk.iuuadr.20r8gc73gj7jhme7224sl","_name":"Data Server"}],"_url":"https://localhost:9443/ibm/iis/igc-rest/v1/assets/b1c497ce.6e83759b.000ldba2r.k8p0fdk.kuhdm4.j9k3pbavn0k6lbc3or9ka","_name":"DW_MART","dbms":"DB2","dbms_server_instance":"DB2"},{"_type":"database","short_description":"","_id":"b1c497ce.6e83759b.000ldba44.t2o3uni.cets9f.28lsu5129o1vor01taert","_context":[{"_type":"host","_id":"b1c497ce.354f5217.000ldba07.rnu76qk.iuuadr.20r8gc73gj7jhme7224sl","_url":"https://localhost:9443/ibm/iis/igc-rest/v1/assets/b1c497ce.354f5217.000ldba07.rnu76qk.iuuadr.20r8gc73gj7jhme7224sl","_name":"Data Server"}],"_url":"https://localhost:9443/ibm/iis/igc-rest/v1/assets/b1c497ce.6e83759b.000ldba44.t2o3uni.cets9f.28lsu5129o1vor01taert","_name":"SALES","dbms":"DB2","dbms_server_instance":"DB2"}],"paging":{"numTotal":4,"pageSize":10,"end":3,"begin":0}}</t>
  </si>
  <si>
    <t>{"items":[{"_type":"application","custom_Implements Job":{"items":[],"paging":{"numTotal":0,"pageSize":0,"end":-1,"begin":0}},"short_description":"Regional Datalake","_id":"5b818a0c.187019e4.001623eho.hc81jc8.ahi01p.e6bp5qial292f5igokpei","_context":[],"_url":"https://localhost:9443/ibm/iis/igc-rest/v1/assets/5b818a0c.187019e4.001623eho.hc81jc8.ahi01p.e6bp5qial292f5igokpei","_name":"BigFoot DataHub"},{"_type":"application","custom_Implements Job":{"items":[],"paging":{"numTotal":0,"pageSize":0,"end":-1,"begin":0}},"short_description":"Customer Resource Application System","_id":"5b818a0c.187019e4.000lek7o4.9it0m1t.qslf1t.go24rvrrlrf0bn2g22uh3","_context":[],"_url":"https://localhost:9443/ibm/iis/igc-rest/v1/assets/5b818a0c.187019e4.000lek7o4.9it0m1t.qslf1t.go24rvrrlrf0bn2g22uh3","_name":"CRM"},{"_type":"application","custom_Implements Job":{"items":[],"paging":{"numTotal":0,"pageSize":0,"end":-1,"begin":0}},"short_description":"","_id":"5b818a0c.187019e4.001627cc1.lcnrl94.ip686t.6ah9tu4djg7935q7rgkb4","_context":[],"_url":"https://localhost:9443/ibm/iis/igc-rest/v1/assets/5b818a0c.187019e4.001627cc1.lcnrl94.ip686t.6ah9tu4djg7935q7rgkb4","_name":"GC_DataLake"},{"_type":"application","custom_Implements Job":{"items":[],"paging":{"numTotal":0,"pageSize":0,"end":-1,"begin":0}},"short_description":"Policy Administration System","_id":"5b818a0c.187019e4.001623eho.hc7tbqo.ooio42.a0fs8l55epq377tvh25r2","_context":[],"_url":"https://localhost:9443/ibm/iis/igc-rest/v1/assets/5b818a0c.187019e4.001623eho.hc7tbqo.ooio42.a0fs8l55epq377tvh25r2","_name":"Guidewire_PC"},{"_type":"application","custom_Implements Job":{"items":[],"paging":{"numTotal":0,"pageSize":0,"end":-1,"begin":0}},"short_description":"High speed machining product manufacturing facility and application portal","_id":"5b818a0c.187019e4.000lek7o4.9it0m1t.gusi67.a3jmqdqvj7pmpuca795i3","_context":[],"_url":"https://localhost:9443/ibm/iis/igc-rest/v1/assets/5b818a0c.187019e4.000lek7o4.9it0m1t.gusi67.a3jmqdqvj7pmpuca795i3","_name":"HSM"},{"_type":"application","custom_Implements Job":{"items":[],"paging":{"numTotal":0,"pageSize":0,"end":-1,"begin":0}},"short_description":"Sales System","_id":"5b818a0c.187019e4.001623eho.hc7v70g.lb9rqt.gp2gg0liaqhhvtt9eccci","_context":[],"_url":"https://localhost:9443/ibm/iis/igc-rest/v1/assets/5b818a0c.187019e4.001623eho.hc7v70g.lb9rqt.gp2gg0liaqhhvtt9eccci","_name":"SalesForce"}],"paging":{"numTotal":6,"pageSize":10,"end":5,"begin":0}}</t>
  </si>
  <si>
    <t>steward</t>
  </si>
  <si>
    <t>Data Files</t>
  </si>
  <si>
    <t>data_file</t>
  </si>
  <si>
    <t>Logical Data Models</t>
  </si>
  <si>
    <t>logical_data_model</t>
  </si>
  <si>
    <t>Physical Data Models</t>
  </si>
  <si>
    <t>physical_data_model</t>
  </si>
  <si>
    <t>Data Stewards</t>
  </si>
  <si>
    <t>{"items":[{"_type":"data_file","custom_Implements Job":{"items":[],"paging":{"numTotal":0,"pageSize":0,"end":-1,"begin":0}},"short_description":"","_id":"b1c497ce.6e76d866.0015nrm0s.k9dmjog.pnmv3i.khm0f76l8oq341p89okra","_context":[{"_type":"host_(engine)","_id":"b1c497ce.354f5217.0015o7g5o.qboberg.mnb5hg.748mf90ca4pq9fnjpvaqc","_url":"https://localhost:9443/ibm/iis/igc-rest/v1/assets/b1c497ce.354f5217.0015o7g5o.qboberg.mnb5hg.748mf90ca4pq9fnjpvaqc","_name":"IGCDOCKER"}],"_url":"https://localhost:9443/ibm/iis/igc-rest/v1/assets/b1c497ce.6e76d866.0015nrm0s.k9dmjog.pnmv3i.khm0f76l8oq341p89okra","_name":"AmericaProd.txt"},{"_type":"data_file","custom_Implements Job":{"items":[],"paging":{"numTotal":0,"pageSize":0,"end":-1,"begin":0}},"short_description":"","_id":"b1c497ce.6e76d866.0015nrm0s.k9djcrf.56anbd.0g0nq4pb2a8q7knnhk95s","_context":[{"_type":"host_(engine)","_id":"b1c497ce.354f5217.0015o7g5o.qboberg.mnb5hg.748mf90ca4pq9fnjpvaqc","_url":"https://localhost:9443/ibm/iis/igc-rest/v1/assets/b1c497ce.354f5217.0015o7g5o.qboberg.mnb5hg.748mf90ca4pq9fnjpvaqc","_name":"IGCDOCKER"}],"_url":"https://localhost:9443/ibm/iis/igc-rest/v1/assets/b1c497ce.6e76d866.0015nrm0s.k9djcrf.56anbd.0g0nq4pb2a8q7knnhk95s","_name":"PanAsiaProd.txt"}],"paging":{"numTotal":2,"pageSize":10,"end":1,"begin":0}}</t>
  </si>
  <si>
    <t>Total Information Assets</t>
  </si>
  <si>
    <t>Link</t>
  </si>
  <si>
    <t>{"items":[{"_type":"logical_data_model","custom_Implements Job":{"items":[],"paging":{"numTotal":0,"pageSize":0,"end":-1,"begin":0}},"short_description":"","_id":"39b05c5b.e591e0c0.000ldbabh.8i908gg.qvo5o6.57jtuq0bisom6vfaqa58f","_context":[],"_url":"https://localhost:9443/ibm/iis/igc-rest/v1/assets/39b05c5b.e591e0c0.000ldbabh.8i908gg.qvo5o6.57jtuq0bisom6vfaqa58f","_name":"EWS Mart"},{"_type":"logical_data_model","custom_Implements Job":{"items":[],"paging":{"numTotal":0,"pageSize":0,"end":-1,"begin":0}},"short_description":"","_id":"39b05c5b.e591e0c0.000ldbaa1.lhuts36.bjkcbs.v7ih8h7krjtlfjf3khghs","_context":[],"_url":"https://localhost:9443/ibm/iis/igc-rest/v1/assets/39b05c5b.e591e0c0.000ldbaa1.lhuts36.bjkcbs.v7ih8h7krjtlfjf3khghs","_name":"EWS Warehouse"}],"paging":{"numTotal":2,"pageSize":10,"end":1,"begin":0}}</t>
  </si>
  <si>
    <t>{"items":[{"_type":"physical_data_model","custom_Implements Job":{"items":[],"paging":{"numTotal":0,"pageSize":0,"end":-1,"begin":0}},"short_description":"","_id":"b1c497ce.8a524872.000ldbacd.alg7cg6.el2dqs.7nok106ga27beg0togmte","_context":[],"_url":"https://localhost:9443/ibm/iis/igc-rest/v1/assets/b1c497ce.8a524872.000ldbacd.alg7cg6.el2dqs.7nok106ga27beg0togmte","_name":"EWS Data Model"},{"_type":"physical_data_model","custom_Implements Job":{"items":[],"paging":{"numTotal":0,"pageSize":0,"end":-1,"begin":0}},"short_description":"","_id":"b1c497ce.8a524872.000ldbaan.e3v0cpt.uncs6t.59fi5o311oo04r8gs0aq4","_context":[],"_url":"https://localhost:9443/ibm/iis/igc-rest/v1/assets/b1c497ce.8a524872.000ldbaan.e3v0cpt.uncs6t.59fi5o311oo04r8gs0aq4","_name":"EWS Warehouse Model"}],"paging":{"numTotal":2,"pageSize":10,"end":1,"begin":0}}</t>
  </si>
  <si>
    <t>Status</t>
  </si>
  <si>
    <t>Response</t>
  </si>
  <si>
    <t>Host:</t>
  </si>
  <si>
    <t>UserName</t>
  </si>
  <si>
    <t>isadmin</t>
  </si>
  <si>
    <t>Password</t>
  </si>
  <si>
    <t>$MapReduce-Computer</t>
  </si>
  <si>
    <t>$MapReduce-Controller</t>
  </si>
  <si>
    <t>$MapReduce-Job</t>
  </si>
  <si>
    <t>$MapReduce-Map</t>
  </si>
  <si>
    <t>$Terminal-Application</t>
  </si>
  <si>
    <t>$Terminal-Entity</t>
  </si>
  <si>
    <t>$Terminal-Field</t>
  </si>
  <si>
    <t>$Terminal-Terminal</t>
  </si>
  <si>
    <t>acl</t>
  </si>
  <si>
    <t>aclentry</t>
  </si>
  <si>
    <t>actiondescriptor</t>
  </si>
  <si>
    <t>amazon_s3_bucket</t>
  </si>
  <si>
    <t>amazon_s3_data_file</t>
  </si>
  <si>
    <t>amazon_s3_data_file_field</t>
  </si>
  <si>
    <t>amazon_s3_data_file_folder</t>
  </si>
  <si>
    <t>amazon_s3_data_file_record</t>
  </si>
  <si>
    <t>analysis_project</t>
  </si>
  <si>
    <t>analysissummaryobject</t>
  </si>
  <si>
    <t>application_install</t>
  </si>
  <si>
    <t>applicationfunction</t>
  </si>
  <si>
    <t>applicationsetting</t>
  </si>
  <si>
    <t>archivedtask</t>
  </si>
  <si>
    <t>array</t>
  </si>
  <si>
    <t>ascl_steward</t>
  </si>
  <si>
    <t>associativeobject</t>
  </si>
  <si>
    <t>attribute</t>
  </si>
  <si>
    <t>attribute_type</t>
  </si>
  <si>
    <t>attribute_type_field</t>
  </si>
  <si>
    <t>bi_collection</t>
  </si>
  <si>
    <t>bi_collection_dimension</t>
  </si>
  <si>
    <t>bi_collection_fact</t>
  </si>
  <si>
    <t>bi_collection_member</t>
  </si>
  <si>
    <t>bi_cube</t>
  </si>
  <si>
    <t>bi_filter</t>
  </si>
  <si>
    <t>bi_folder</t>
  </si>
  <si>
    <t>bi_hierarchy</t>
  </si>
  <si>
    <t>bi_hierarchy_member</t>
  </si>
  <si>
    <t>bi_level</t>
  </si>
  <si>
    <t>bi_model</t>
  </si>
  <si>
    <t>bi_olap_level_element</t>
  </si>
  <si>
    <t>bi_report</t>
  </si>
  <si>
    <t>bi_report_data_item_source</t>
  </si>
  <si>
    <t>bi_report_query</t>
  </si>
  <si>
    <t>bi_report_query_detail_filter</t>
  </si>
  <si>
    <t>bi_report_query_item</t>
  </si>
  <si>
    <t>bi_report_query_summary_filter</t>
  </si>
  <si>
    <t>bi_report_query_usage</t>
  </si>
  <si>
    <t>bi_report_section</t>
  </si>
  <si>
    <t>bi_root_folder</t>
  </si>
  <si>
    <t>bi_server</t>
  </si>
  <si>
    <t>blueprint</t>
  </si>
  <si>
    <t>blueprint_element_link</t>
  </si>
  <si>
    <t>candidate_key</t>
  </si>
  <si>
    <t>cdc_mapping</t>
  </si>
  <si>
    <t>cdc_mapping_document</t>
  </si>
  <si>
    <t>changed_properties</t>
  </si>
  <si>
    <t>classdescriptor</t>
  </si>
  <si>
    <t>classification</t>
  </si>
  <si>
    <t>classificationenabledgroup</t>
  </si>
  <si>
    <t>classificationtask</t>
  </si>
  <si>
    <t>collection</t>
  </si>
  <si>
    <t>column_analysis</t>
  </si>
  <si>
    <t>column_analysis_summary</t>
  </si>
  <si>
    <t>column_definition</t>
  </si>
  <si>
    <t>composite_view</t>
  </si>
  <si>
    <t>connector</t>
  </si>
  <si>
    <t>credential</t>
  </si>
  <si>
    <t>credentials</t>
  </si>
  <si>
    <t>custom_attribute</t>
  </si>
  <si>
    <t>customattributedef</t>
  </si>
  <si>
    <t>customattributeval</t>
  </si>
  <si>
    <t>data_class</t>
  </si>
  <si>
    <t>data_class_old</t>
  </si>
  <si>
    <t>data_connection</t>
  </si>
  <si>
    <t>data_connection_mapping</t>
  </si>
  <si>
    <t>data_element</t>
  </si>
  <si>
    <t>data_file_definition</t>
  </si>
  <si>
    <t>data_file_definition_field</t>
  </si>
  <si>
    <t>data_file_definition_record</t>
  </si>
  <si>
    <t>data_file_field</t>
  </si>
  <si>
    <t>data_file_folder</t>
  </si>
  <si>
    <t>data_file_record</t>
  </si>
  <si>
    <t>data_item</t>
  </si>
  <si>
    <t>data_item_definition</t>
  </si>
  <si>
    <t>data_item_properties</t>
  </si>
  <si>
    <t>data_item_value</t>
  </si>
  <si>
    <t>data_policy</t>
  </si>
  <si>
    <t>data_rule</t>
  </si>
  <si>
    <t>data_rule_definition</t>
  </si>
  <si>
    <t>data_rule_results</t>
  </si>
  <si>
    <t>data_rule_set</t>
  </si>
  <si>
    <t>data_rule_set_definition</t>
  </si>
  <si>
    <t>database_alias</t>
  </si>
  <si>
    <t>database_column</t>
  </si>
  <si>
    <t>database_domain</t>
  </si>
  <si>
    <t>database_index</t>
  </si>
  <si>
    <t>database_schema</t>
  </si>
  <si>
    <t>database_table</t>
  </si>
  <si>
    <t>datagroup</t>
  </si>
  <si>
    <t>datasourcealiasgroup</t>
  </si>
  <si>
    <t>datastage_item</t>
  </si>
  <si>
    <t>derivation</t>
  </si>
  <si>
    <t>design_column</t>
  </si>
  <si>
    <t>design_foreign_key</t>
  </si>
  <si>
    <t>design_key</t>
  </si>
  <si>
    <t>design_stored_procedure</t>
  </si>
  <si>
    <t>design_stored_procedure_parameter</t>
  </si>
  <si>
    <t>design_table</t>
  </si>
  <si>
    <t>design_view</t>
  </si>
  <si>
    <t>development_log</t>
  </si>
  <si>
    <t>directory</t>
  </si>
  <si>
    <t>directoryproviderconfiguration</t>
  </si>
  <si>
    <t>directoryproviderproperty</t>
  </si>
  <si>
    <t>ds_stage_column</t>
  </si>
  <si>
    <t>dsargumentmap</t>
  </si>
  <si>
    <t>dsdata_connection</t>
  </si>
  <si>
    <t>dsdesign_view</t>
  </si>
  <si>
    <t>dsexternaldependency</t>
  </si>
  <si>
    <t>dsfolder</t>
  </si>
  <si>
    <t>dsjcltemplate</t>
  </si>
  <si>
    <t>dsjob</t>
  </si>
  <si>
    <t>dsmetabag</t>
  </si>
  <si>
    <t>dsmfcolumninfo</t>
  </si>
  <si>
    <t>dsparameter</t>
  </si>
  <si>
    <t>dsparameter_job</t>
  </si>
  <si>
    <t>dsparameter_set</t>
  </si>
  <si>
    <t>dsstage_type</t>
  </si>
  <si>
    <t>endpoint</t>
  </si>
  <si>
    <t>entity_attribute</t>
  </si>
  <si>
    <t>entity_type</t>
  </si>
  <si>
    <t>extension_mapping</t>
  </si>
  <si>
    <t>extension_mapping_document</t>
  </si>
  <si>
    <t>field_analysis</t>
  </si>
  <si>
    <t>file</t>
  </si>
  <si>
    <t>file_record_analysis</t>
  </si>
  <si>
    <t>filterconstraint</t>
  </si>
  <si>
    <t>folder</t>
  </si>
  <si>
    <t>foreign_key</t>
  </si>
  <si>
    <t>foreign_key_definition</t>
  </si>
  <si>
    <t>function</t>
  </si>
  <si>
    <t>function_call</t>
  </si>
  <si>
    <t>functioncall</t>
  </si>
  <si>
    <t>group</t>
  </si>
  <si>
    <t>host</t>
  </si>
  <si>
    <t>host_(engine)</t>
  </si>
  <si>
    <t>idoc_field</t>
  </si>
  <si>
    <t>idoc_segment_type</t>
  </si>
  <si>
    <t>idoc_type</t>
  </si>
  <si>
    <t>in_parameter</t>
  </si>
  <si>
    <t>index_member</t>
  </si>
  <si>
    <t>inferred_foreign_key</t>
  </si>
  <si>
    <t>inferred_key</t>
  </si>
  <si>
    <t>information_asset</t>
  </si>
  <si>
    <t>information_governance_policy</t>
  </si>
  <si>
    <t>information_governance_rule</t>
  </si>
  <si>
    <t>information_server_report</t>
  </si>
  <si>
    <t>information_server_report_(analysis_project)</t>
  </si>
  <si>
    <t>information_server_report_(database)</t>
  </si>
  <si>
    <t>information_server_report_(job)</t>
  </si>
  <si>
    <t>information_server_report_(mapping_project)</t>
  </si>
  <si>
    <t>information_server_report_(mapping_specification)</t>
  </si>
  <si>
    <t>information_server_report_(steward)</t>
  </si>
  <si>
    <t>information_server_report_param_(job)</t>
  </si>
  <si>
    <t>information_server_report_parameters</t>
  </si>
  <si>
    <t>information_services_application</t>
  </si>
  <si>
    <t>information_services_argument</t>
  </si>
  <si>
    <t>information_services_operation</t>
  </si>
  <si>
    <t>information_services_project</t>
  </si>
  <si>
    <t>information_services_service</t>
  </si>
  <si>
    <t>inout_parameter</t>
  </si>
  <si>
    <t>input_parameter</t>
  </si>
  <si>
    <t>inputpin</t>
  </si>
  <si>
    <t>inv_data_rule</t>
  </si>
  <si>
    <t>inv_data_rule_definition</t>
  </si>
  <si>
    <t>inv_data_rule_set</t>
  </si>
  <si>
    <t>inv_data_rule_set_definition</t>
  </si>
  <si>
    <t>job</t>
  </si>
  <si>
    <t>job_constraint</t>
  </si>
  <si>
    <t>job_fail_event</t>
  </si>
  <si>
    <t>job_input_pin</t>
  </si>
  <si>
    <t>job_output_pin</t>
  </si>
  <si>
    <t>job_parameter</t>
  </si>
  <si>
    <t>job_read_event</t>
  </si>
  <si>
    <t>job_run</t>
  </si>
  <si>
    <t>job_run_activity</t>
  </si>
  <si>
    <t>job_stage_parameters</t>
  </si>
  <si>
    <t>job_stage_record</t>
  </si>
  <si>
    <t>job_write_event</t>
  </si>
  <si>
    <t>jobdef</t>
  </si>
  <si>
    <t>keycomponent</t>
  </si>
  <si>
    <t>label</t>
  </si>
  <si>
    <t>lineage_report_template</t>
  </si>
  <si>
    <t>lineagefilter</t>
  </si>
  <si>
    <t>link</t>
  </si>
  <si>
    <t>linktype</t>
  </si>
  <si>
    <t>local_container</t>
  </si>
  <si>
    <t>logical_domain</t>
  </si>
  <si>
    <t>logical_entity</t>
  </si>
  <si>
    <t>logical_foreign_key</t>
  </si>
  <si>
    <t>logical_inversion_key</t>
  </si>
  <si>
    <t>logical_key</t>
  </si>
  <si>
    <t>logical_validation_list</t>
  </si>
  <si>
    <t>logical_validation_range</t>
  </si>
  <si>
    <t>logical_validation_rule</t>
  </si>
  <si>
    <t>logical_variable</t>
  </si>
  <si>
    <t>machine_profile</t>
  </si>
  <si>
    <t>main_object</t>
  </si>
  <si>
    <t>mapping</t>
  </si>
  <si>
    <t>mapping_component</t>
  </si>
  <si>
    <t>mapping_filter</t>
  </si>
  <si>
    <t>mapping_join</t>
  </si>
  <si>
    <t>mapping_project</t>
  </si>
  <si>
    <t>mapping_specification</t>
  </si>
  <si>
    <t>match_specification</t>
  </si>
  <si>
    <t>mdm_model</t>
  </si>
  <si>
    <t>member_type</t>
  </si>
  <si>
    <t>method</t>
  </si>
  <si>
    <t>metric</t>
  </si>
  <si>
    <t>mwb_database_alias</t>
  </si>
  <si>
    <t>navigationdescriptor</t>
  </si>
  <si>
    <t>non_published_data_rule_definition</t>
  </si>
  <si>
    <t>non_published_data_rule_set</t>
  </si>
  <si>
    <t>non_steward_user</t>
  </si>
  <si>
    <t>object_type</t>
  </si>
  <si>
    <t>olap_join</t>
  </si>
  <si>
    <t>olap_member_source</t>
  </si>
  <si>
    <t>olapassociation</t>
  </si>
  <si>
    <t>olaphierarchyassociation</t>
  </si>
  <si>
    <t>olapjoinref</t>
  </si>
  <si>
    <t>olapmodelgroup</t>
  </si>
  <si>
    <t>olapobject</t>
  </si>
  <si>
    <t>oslc_link</t>
  </si>
  <si>
    <t>out_parameter</t>
  </si>
  <si>
    <t>output_value</t>
  </si>
  <si>
    <t>outputpin</t>
  </si>
  <si>
    <t>parameter</t>
  </si>
  <si>
    <t>parameter_set</t>
  </si>
  <si>
    <t>parameter_set_definition</t>
  </si>
  <si>
    <t>parameterset</t>
  </si>
  <si>
    <t>parameterval</t>
  </si>
  <si>
    <t>physical_domain</t>
  </si>
  <si>
    <t>physical_object</t>
  </si>
  <si>
    <t>physical_object_attribute</t>
  </si>
  <si>
    <t>primarycategory</t>
  </si>
  <si>
    <t>propdescriptor</t>
  </si>
  <si>
    <t>providerpropertyinfo</t>
  </si>
  <si>
    <t>providerpropertyinfoextended</t>
  </si>
  <si>
    <t>providerpropertytype</t>
  </si>
  <si>
    <t>published_data_rule_definition</t>
  </si>
  <si>
    <t>published_data_rule_set</t>
  </si>
  <si>
    <t>quality_problem</t>
  </si>
  <si>
    <t>reference_key</t>
  </si>
  <si>
    <t>referenced_container</t>
  </si>
  <si>
    <t>reportobject</t>
  </si>
  <si>
    <t>result_column</t>
  </si>
  <si>
    <t>role_assignment</t>
  </si>
  <si>
    <t>role_context</t>
  </si>
  <si>
    <t>root_tuple</t>
  </si>
  <si>
    <t>routine</t>
  </si>
  <si>
    <t>routine_argument</t>
  </si>
  <si>
    <t>sap_connection</t>
  </si>
  <si>
    <t>sequence_job</t>
  </si>
  <si>
    <t>session_configuration</t>
  </si>
  <si>
    <t>shared_container</t>
  </si>
  <si>
    <t>stage</t>
  </si>
  <si>
    <t>stage_column</t>
  </si>
  <si>
    <t>stage_data_rule_definition</t>
  </si>
  <si>
    <t>stage_type</t>
  </si>
  <si>
    <t>stage_type_detail</t>
  </si>
  <si>
    <t>stage_variable</t>
  </si>
  <si>
    <t>standardization_object</t>
  </si>
  <si>
    <t>standardization_rule</t>
  </si>
  <si>
    <t>standardization_rule_set</t>
  </si>
  <si>
    <t>steward_group</t>
  </si>
  <si>
    <t>steward_user</t>
  </si>
  <si>
    <t>stored_procedure</t>
  </si>
  <si>
    <t>stored_procedure_definition</t>
  </si>
  <si>
    <t>stored_procedure_parameter</t>
  </si>
  <si>
    <t>subject_area</t>
  </si>
  <si>
    <t>system_role</t>
  </si>
  <si>
    <t>table_analysis</t>
  </si>
  <si>
    <t>table_analysis_summary</t>
  </si>
  <si>
    <t>table_definition</t>
  </si>
  <si>
    <t>table_definition_properties</t>
  </si>
  <si>
    <t>term_assignment</t>
  </si>
  <si>
    <t>term_history</t>
  </si>
  <si>
    <t>transform_argument</t>
  </si>
  <si>
    <t>transformation_project</t>
  </si>
  <si>
    <t>transforms_function</t>
  </si>
  <si>
    <t>tuple</t>
  </si>
  <si>
    <t>tuple_attribute</t>
  </si>
  <si>
    <t>user_group</t>
  </si>
  <si>
    <t>user_role</t>
  </si>
  <si>
    <t>valid_value</t>
  </si>
  <si>
    <t>valid_value_list</t>
  </si>
  <si>
    <t>valid_value_range</t>
  </si>
  <si>
    <t>validity_table</t>
  </si>
  <si>
    <t>validvaluelist</t>
  </si>
  <si>
    <t>validvaluerange</t>
  </si>
  <si>
    <t>validvaluerule</t>
  </si>
  <si>
    <t>validvalues</t>
  </si>
  <si>
    <t>view</t>
  </si>
  <si>
    <t>warehouse_mapping</t>
  </si>
  <si>
    <t>warehouse_mapping_document</t>
  </si>
  <si>
    <t>xml_schema_definition</t>
  </si>
  <si>
    <t>xml_schema_library</t>
  </si>
  <si>
    <t>xsd_attribute</t>
  </si>
  <si>
    <t>xsd_attribute_group</t>
  </si>
  <si>
    <t>xsd_attribute_reference</t>
  </si>
  <si>
    <t>xsd_choice</t>
  </si>
  <si>
    <t>xsd_complex_type</t>
  </si>
  <si>
    <t>xsd_element</t>
  </si>
  <si>
    <t>xsd_element_group</t>
  </si>
  <si>
    <t>xsd_element_group_reference</t>
  </si>
  <si>
    <t>xsd_element_reference</t>
  </si>
  <si>
    <t>xsd_foreign_key</t>
  </si>
  <si>
    <t>xsd_primary_key</t>
  </si>
  <si>
    <t>xsd_sequence</t>
  </si>
  <si>
    <t>xsd_simple_type</t>
  </si>
  <si>
    <t>xsd_unique_key</t>
  </si>
  <si>
    <t>Name</t>
  </si>
  <si>
    <t>{"items":[],"paging":{"numTotal":0,"pageSize":10,"end":-1,"begin":0}}</t>
  </si>
  <si>
    <t>{"items":[{"_type":"bi_folder","custom_Implements Job":{"items":[],"paging":{"numTotal":0,"pageSize":0,"end":-1,"begin":0}},"short_description":"","_id":"739c39a2.5b767f95.63f3ls0n8.h4mk87o.0lkr48.bnb0a0nbn64lhqgdcq3gj","_context":[{"_type":"bi_server","_id":"739c39a2.711b926a.63f3ls0n8.h4n6kr8.e0i4gv.ahb1vr938kj92rf8fvk24","_url":"https://localhost:9443/ibm/iis/igc-rest/v1/assets/739c39a2.711b926a.63f3ls0n8.h4n6kr8.e0i4gv.ahb1vr938kj92rf8fvk24","_name":"qadual-2"},{"_type":"bi_root_folder","_id":"739c39a2.5b767f95.63f3ls0n8.h4o9bf7.pkah6a.g6sa285v11dn054rvsggb","_url":"https://localhost:9443/ibm/iis/igc-rest/v1/assets/739c39a2.5b767f95.63f3ls0n8.h4o9bf7.pkah6a.g6sa285v11dn054rvsggb","_name":"Public Folders"}],"_url":"https://localhost:9443/ibm/iis/igc-rest/v1/assets/739c39a2.5b767f95.63f3ls0n8.h4mk87o.0lkr48.bnb0a0nbn64lhqgdcq3gj","_name":"EWS"},{"_type":"bi_root_folder","custom_Implements Job":{"items":[],"paging":{"numTotal":0,"pageSize":0,"end":-1,"begin":0}},"short_description":"","_id":"739c39a2.5b767f95.63f3ls0n8.h4o9bf7.pkah6a.g6sa285v11dn054rvsggb","_context":[{"_type":"bi_server","_id":"739c39a2.711b926a.63f3ls0n8.h4n6kr8.e0i4gv.ahb1vr938kj92rf8fvk24","_url":"https://localhost:9443/ibm/iis/igc-rest/v1/assets/739c39a2.711b926a.63f3ls0n8.h4n6kr8.e0i4gv.ahb1vr938kj92rf8fvk24","_name":"qadual-2"}],"_url":"https://localhost:9443/ibm/iis/igc-rest/v1/assets/739c39a2.5b767f95.63f3ls0n8.h4o9bf7.pkah6a.g6sa285v11dn054rvsggb","_name":"Public Folders"}],"paging":{"numTotal":2,"pageSize":10,"end":1,"begin":0}}</t>
  </si>
  <si>
    <t>Current</t>
  </si>
  <si>
    <t>{"items":[{"_type":"data_file_record","custom_Implements Job":{"items":[],"paging":{"numTotal":0,"pageSize":0,"end":-1,"begin":0}},"short_description":"","_id":"b1c497ce.54bd3a08.0015nrm0s.k9du2hb.ngii8a.pb0dohjs763j385gg4p16","_context":[{"_type":"host_(engine)","_id":"b1c497ce.354f5217.0015o7g5o.qboberg.mnb5hg.748mf90ca4pq9fnjpvaqc","_url":"https://localhost:9443/ibm/iis/igc-rest/v1/assets/b1c497ce.354f5217.0015o7g5o.qboberg.mnb5hg.748mf90ca4pq9fnjpvaqc","_name":"IGCDOCKER"},{"_type":"data_file","_id":"b1c497ce.6e76d866.0015nrm0s.k9dmjog.pnmv3i.khm0f76l8oq341p89okra","_url":"https://localhost:9443/ibm/iis/igc-rest/v1/assets/b1c497ce.6e76d866.0015nrm0s.k9dmjog.pnmv3i.khm0f76l8oq341p89okra","_name":"AmericaProd.txt"}],"_url":"https://localhost:9443/ibm/iis/igc-rest/v1/assets/b1c497ce.54bd3a08.0015nrm0s.k9du2hb.ngii8a.pb0dohjs763j385gg4p16","_name":"AmericaProd"},{"_type":"design_table","custom_Implements Job":{"items":[],"paging":{"numTotal":0,"pageSize":0,"end":-1,"begin":0}},"short_description":"","_id":"b1c497ce.54bd3a08.000ldbaan.e3v38as.b7l93e.k4b18p0pqhpm7daev8j22","_context":[{"_type":"physical_data_model","_id":"b1c497ce.8a524872.000ldbaan.e3v0cpt.uncs6t.59fi5o311oo04r8gs0aq4","_url":"https://localhost:9443/ibm/iis/igc-rest/v1/assets/b1c497ce.8a524872.000ldbaan.e3v0cpt.uncs6t.59fi5o311oo04r8gs0aq4","_name":"EWS Warehouse Model"}],"_url":"https://localhost:9443/ibm/iis/igc-rest/v1/assets/b1c497ce.54bd3a08.000ldbaan.e3v38as.b7l93e.k4b18p0pqhpm7daev8j22","_name":"Manufacture Plant"},{"_type":"data_file_record","custom_Implements Job":{"items":[],"paging":{"numTotal":0,"pageSize":0,"end":-1,"begin":0}},"short_description":"","_id":"b1c497ce.54bd3a08.0015nrm0s.k9dn6d0.3ntpfn.tavcnk76trfl7q7rra98q","_context":[{"_type":"host_(engine)","_id":"b1c497ce.354f5217.0015o7g5o.qboberg.mnb5hg.748mf90ca4pq9fnjpvaqc","_url":"https://localhost:9443/ibm/iis/igc-rest/v1/assets/b1c497ce.354f5217.0015o7g5o.qboberg.mnb5hg.748mf90ca4pq9fnjpvaqc","_name":"IGCDOCKER"},{"_type":"data_file","_id":"b1c497ce.6e76d866.0015nrm0s.k9djcrf.56anbd.0g0nq4pb2a8q7knnhk95s","_url":"https://localhost:9443/ibm/iis/igc-rest/v1/assets/b1c497ce.6e76d866.0015nrm0s.k9djcrf.56anbd.0g0nq4pb2a8q7knnhk95s","_name":"PanAsiaProd.txt"}],"_url":"https://localhost:9443/ibm/iis/igc-rest/v1/assets/b1c497ce.54bd3a08.0015nrm0s.k9dn6d0.3ntpfn.tavcnk76trfl7q7rra98q","_name":"PanAsiaProd"},{"_type":"database_table","custom_Implements Job":{"items":[],"paging":{"numTotal":0,"pageSize":0,"end":-1,"begin":0}},"short_description":"Plant Lookup Table","_id":"b1c497ce.54bd3a08.000lek770.e26qfit.fh4104.9m2jlq1v4gbd8qud73dmn","_context":[{"_type":"host","_id":"b1c497ce.354f5217.000ldba07.rnu76qk.iuuadr.20r8gc73gj7jhme7224sl","_url":"https://localhost:9443/ibm/iis/igc-rest/v1/assets/b1c497ce.354f5217.000ldba07.rnu76qk.iuuadr.20r8gc73gj7jhme7224sl","_name":"Data Server"},{"_type":"database","_id":"b1c497ce.6e83759b.000lek770.e26nsgi.g4vjie.cnjeiu3mqlgbgr92af8mj","_url":"https://localhost:9443/ibm/iis/igc-rest/v1/assets/b1c497ce.6e83759b.000lek770.e26nsgi.g4vjie.cnjeiu3mqlgbgr92af8mj","_name":"DW"},{"_type":"database_schema","_id":"b1c497ce.c1fb060b.000lek770.e25td4m.61bq44.o8gsnc9chd3l1qms8ju2h","_url":"https://localhost:9443/ibm/iis/igc-rest/v1/assets/b1c497ce.c1fb060b.000lek770.e25td4m.61bq44.o8gsnc9chd3l1qms8ju2h","_name":"PRODUCT"}],"_url":"https://localhost:9443/ibm/iis/igc-rest/v1/assets/b1c497ce.54bd3a08.000lek770.e26qfit.fh4104.9m2jlq1v4gbd8qud73dmn","_name":"PLANT"},{"_type":"database_table","custom_Implements Job":{"items":[],"paging":{"numTotal":0,"pageSize":0,"end":-1,"begin":0}},"short_description":"","_id":"b1c497ce.54bd3a08.000lek770.e26qfit.6cgnt6.5fiu1i0p3abd3decq8avv","_context":[{"_type":"host","_id":"b1c497ce.354f5217.000ldba07.rnu76qk.iuuadr.20r8gc73gj7jhme7224sl","_url":"https://localhost:9443/ibm/iis/igc-rest/v1/assets/b1c497ce.354f5217.000ldba07.rnu76qk.iuuadr.20r8gc73gj7jhme7224sl","_name":"Data Server"},{"_type":"database","_id":"b1c497ce.6e83759b.000lek770.e26nsgi.g4vjie.cnjeiu3mqlgbgr92af8mj","_url":"https://localhost:9443/ibm/iis/igc-rest/v1/assets/b1c497ce.6e83759b.000lek770.e26nsgi.g4vjie.cnjeiu3mqlgbgr92af8mj","_name":"DW"},{"_type":"database_schema","_id":"b1c497ce.c1fb060b.000lek770.ea7oj3l.o0uiql.o1sgr5jf11i4d0h5vbhfg","_url":"https://localhost:9443/ibm/iis/igc-rest/v1/assets/b1c497ce.c1fb060b.000lek770.ea7oj3l.o0uiql.o1sgr5jf11i4d0h5vbhfg","_name":"SCHEMA1"}],"_url":"https://localhost:9443/ibm/iis/igc-rest/v1/assets/b1c497ce.54bd3a08.000lek770.e26qfit.6cgnt6.5fiu1i0p3abd3decq8avv","_name":"PROCESS"},{"_type":"database_table","custom_Implements Job":{"items":[],"paging":{"numTotal":0,"pageSize":0,"end":-1,"begin":0}},"short_description":"Product Transaction Reporting Mart","_id":"b1c497ce.54bd3a08.000ldba2r.k8ogfsi.sk4bi8.t35h75262l2g1385f8fsv","_context":[{"_type":"host","_id":"b1c497ce.354f5217.000ldba07.rnu76qk.iuuadr.20r8gc73gj7jhme7224sl","_url":"https://localhost:9443/ibm/iis/igc-rest/v1/assets/b1c497ce.354f5217.000ldba07.rnu76qk.iuuadr.20r8gc73gj7jhme7224sl","_name":"Data Server"},{"_type":"database","_id":"b1c497ce.6e83759b.000ldba2r.k8p0fdk.kuhdm4.j9k3pbavn0k6lbc3or9ka","_url":"https://localhost:9443/ibm/iis/igc-rest/v1/assets/b1c497ce.6e83759b.000ldba2r.k8p0fdk.kuhdm4.j9k3pbavn0k6lbc3or9ka","_name":"DW_MART"},{"_type":"database_schema","_id":"b1c497ce.c1fb060b.000ldba2r.k8ocrps.s0q68b.ndnegd1q6c9lp5c8uv3en","_url":"https://localhost:9443/ibm/iis/igc-rest/v1/assets/b1c497ce.c1fb060b.000ldba2r.k8ocrps.s0q68b.ndnegd1q6c9lp5c8uv3en","_name":"SCHEMA1"}],"_url":"https://localhost:9443/ibm/iis/igc-rest/v1/assets/b1c497ce.54bd3a08.000ldba2r.k8ogfsi.sk4bi8.t35h75262l2g1385f8fsv","_name":"PROD_MRT"},{"_type":"database_table","custom_Implements Job":{"items":[],"paging":{"numTotal":0,"pageSize":0,"end":-1,"begin":0}},"short_description":" Production Mart for product transaction reporting ","_id":"b1c497ce.54bd3a08.63f3ls0n8.h4ncoar.k2i895.ae0bflfjsfnnqj0dv9oc2","_context":[{"_type":"host","_id":"b1c497ce.354f5217.6ulkuj781.2s770al.7ppa7k.uu5t6dgc0jtnj2ok7asdh","_url":"https://localhost:9443/ibm/iis/igc-rest/v1/assets/b1c497ce.354f5217.6ulkuj781.2s770al.7ppa7k.uu5t6dgc0jtnj2ok7asdh","_name":"BI Server"},{"_type":"database","_id":"b1c497ce.6e83759b.6ulkumajg.ajn1bpt.67e7m2.gh27i78t9d0g904bre62k","_url":"https://localhost:9443/ibm/iis/igc-rest/v1/assets/b1c497ce.6e83759b.6ulkumajg.ajn1bpt.67e7m2.gh27i78t9d0g904bre62k","_name":"BI Mart"},{"_type":"database_schema","_id":"b1c497ce.c1fb060b.6ulkumajg.ajn4q0t.52nv3j.4jomhlul4u4u1tbbq0b1k","_url":"https://localhost:9443/ibm/iis/igc-rest/v1/assets/b1c497ce.c1fb060b.6ulkumajg.ajn4q0t.52nv3j.4jomhlul4u4u1tbbq0b1k","_name":"Schema1"}],"_url":"https://localhost:9443/ibm/iis/igc-rest/v1/assets/b1c497ce.54bd3a08.63f3ls0n8.h4ncoar.k2i895.ae0bflfjsfnnqj0dv9oc2","_name":"PROD_MRT"},{"_type":"design_table","custom_Implements Job":{"items":[],"paging":{"numTotal":0,"pageSize":0,"end":-1,"begin":0}},"short_description":"Transaction Product","_id":"b1c497ce.54bd3a08.000ldbacd.alg8hao.m7b8p7.00s44vfta60eat1ndl7q1","_context":[{"_type":"physical_data_model","_id":"b1c497ce.8a524872.000ldbacd.alg7cg6.el2dqs.7nok106ga27beg0togmte","_url":"https://localhost:9443/ibm/iis/igc-rest/v1/assets/b1c497ce.8a524872.000ldbacd.alg7cg6.el2dqs.7nok106ga27beg0togmte","_name":"EWS Data Model"}],"_url":"https://localhost:9443/ibm/iis/igc-rest/v1/assets/b1c497ce.54bd3a08.000ldbacd.alg8hao.m7b8p7.00s44vfta60eat1ndl7q1","_name":"PRODUCT"},{"_type":"database_alias","custom_Implements Job":{"items":[],"paging":{"numTotal":0,"pageSize":0,"end":-1,"begin":0}},"short_description":"","_id":"b1c497ce.54bd3a08.000lgr4te.fn2rtcu.vgor58.plpa0jhvucqknr7eo6jnq","_context":[{"_type":"host","_id":"b1c497ce.354f5217.000ldba07.rnu76qk.iuuadr.20r8gc73gj7jhme7224sl","_url":"https://localhost:9443/ibm/iis/igc-rest/v1/assets/b1c497ce.354f5217.000ldba07.rnu76qk.iuuadr.20r8gc73gj7jhme7224sl","_name":"Data Server"},{"_type":"database","_id":"b1c497ce.6e83759b.000lek770.e26nsgi.g4vjie.cnjeiu3mqlgbgr92af8mj","_url":"https://localhost:9443/ibm/iis/igc-rest/v1/assets/b1c497ce.6e83759b.000lek770.e26nsgi.g4vjie.cnjeiu3mqlgbgr92af8mj","_name":"DW"},{"_type":"database_schema","_id":"b1c497ce.c1fb060b.000lek770.e25td4m.61bq44.o8gsnc9chd3l1qms8ju2h","_url":"https://localhost:9443/ibm/iis/igc-rest/v1/assets/b1c497ce.c1fb060b.000lek770.e25td4m.61bq44.o8gsnc9chd3l1qms8ju2h","_name":"PRODUCT"}],"_url":"https://localhost:9443/ibm/iis/igc-rest/v1/assets/b1c497ce.54bd3a08.000lgr4te.fn2rtcu.vgor58.plpa0jhvucqknr7eo6jnq","_name":"PRODUCT_TRANSACTON"},{"_type":"view","custom_Implements Job":{"items":[],"paging":{"numTotal":0,"pageSize":0,"end":-1,"begin":0}},"short_description":"","_id":"b1c497ce.54bd3a08.000lek770.e25ck9u.2aue5g.mcnl9gl6t6135ujrhaqf6","_context":[{"_type":"host","_id":"b1c497ce.354f5217.000ldba07.rnu76qk.iuuadr.20r8gc73gj7jhme7224sl","_url":"https://localhost:9443/ibm/iis/igc-rest/v1/assets/b1c497ce.354f5217.000ldba07.rnu76qk.iuuadr.20r8gc73gj7jhme7224sl","_name":"Data Server"},{"_type":"database","_id":"b1c497ce.6e83759b.000lek770.e26nsgi.g4vjie.cnjeiu3mqlgbgr92af8mj","_url":"https://localhost:9443/ibm/iis/igc-rest/v1/assets/b1c497ce.6e83759b.000lek770.e26nsgi.g4vjie.cnjeiu3mqlgbgr92af8mj","_name":"DW"},{"_type":"database_schema","_id":"b1c497ce.c1fb060b.000lek770.e25td4m.61bq44.o8gsnc9chd3l1qms8ju2h","_url":"https://localhost:9443/ibm/iis/igc-rest/v1/assets/b1c497ce.c1fb060b.000lek770.e25td4m.61bq44.o8gsnc9chd3l1qms8ju2h","_name":"PRODUCT"}],"_url":"https://localhost:9443/ibm/iis/igc-rest/v1/assets/b1c497ce.54bd3a08.000lek770.e25ck9u.2aue5g.mcnl9gl6t6135ujrhaqf6","_name":"PRODUCTION"}],"paging":{"numTotal":19,"next":"https://localhost:9443/ibm/iis/igc-rest/v1/search?types=datagroup&amp;begin=10","pageSize":10,"end":9,"begin":0}}</t>
  </si>
  <si>
    <t xml:space="preserve">IC© 2018 Author: Deon Pollard </t>
  </si>
  <si>
    <t>select</t>
  </si>
  <si>
    <t>Welcome to the tour. 
Instructions for screen readers: In just 10 steps, you'll be up and running with Excel, the world's most popular spreadsheet app. 
There are 11 more sheets in this tour. The instructions for each sheet start in cell A1, and each subsequent step is in cell A2, A3, and so on. 
The instructions will indicate which cells to navigate to for use of a feature, or further reading.
To start, press CTRL+PAGE DOWN.</t>
  </si>
  <si>
    <t>Go back to top by pressing CTRL+HOME. To start the tour, press CTRL+PAGE DOWN.</t>
  </si>
  <si>
    <t>Add numbers like a champ</t>
  </si>
  <si>
    <t>Here are some ways to add up numbers in Excel:</t>
  </si>
  <si>
    <t xml:space="preserve">Cells C3 through D7 contain data with two columns. One for Fruit, and one for Amount. </t>
  </si>
  <si>
    <t>Fruit</t>
  </si>
  <si>
    <t>Amount</t>
  </si>
  <si>
    <t>Go to D8 by pressing CTRL+G, type D8, and then press ENTER.</t>
  </si>
  <si>
    <t>Apples</t>
  </si>
  <si>
    <t>Type =SUM(D4:D7), then press ENTER.</t>
  </si>
  <si>
    <t>Oranges</t>
  </si>
  <si>
    <t xml:space="preserve">The result is 170. </t>
  </si>
  <si>
    <t>Bananas</t>
  </si>
  <si>
    <t>Here's another way to add, using a shortcut key. Cells F3 through G7 contain data with two columns: Meat and Amount.</t>
  </si>
  <si>
    <t>Lemons</t>
  </si>
  <si>
    <t>Go to cell G8. Press ALT+=, then press ENTER.</t>
  </si>
  <si>
    <t>The result in cell G8 is 140.</t>
  </si>
  <si>
    <t>Here's another way to add. Cells C10 through D15 have two columns of data: Item and Amount.</t>
  </si>
  <si>
    <t>Now add only the numbers over 50. Go to cell D16. Type =SUMIF(D11:D15 comma "&gt;50"), then press Enter. The result is 100.</t>
  </si>
  <si>
    <t>EXTRA CREDIT: Cells F10 through G15 contain data with two columns: Item and Amount. Go to cell G16. Try adding another SUMIF formula here. Add amounts in column G, cells G11 to G15 but add amounts that are less than 100. The result should be 160.</t>
  </si>
  <si>
    <t>Dive down for more detail: Go to A27. Or, to proceed to the next step, press CTRL+PAGE DOWN.</t>
  </si>
  <si>
    <t xml:space="preserve">More about the SUM function </t>
  </si>
  <si>
    <t>In some of the above tips, we taught you how to use the SUM function. Here are more details about it.</t>
  </si>
  <si>
    <t xml:space="preserve">Cells C37 through D41 contain data with two columns: Fruit and Amount. </t>
  </si>
  <si>
    <t>The formula in cell D42: =SUM(D38:D41).</t>
  </si>
  <si>
    <t>If the SUM function in cell D42 could talk, it would say this: Sum up the values in cells D38, D39, D40, and D41.</t>
  </si>
  <si>
    <t>Here's another way it can be used:</t>
  </si>
  <si>
    <t xml:space="preserve">Cells C47 through D48 contain data with two columns: Item and Amount. </t>
  </si>
  <si>
    <t xml:space="preserve">Cells F47 through G51 contain data with two columns: Item and Amount. </t>
  </si>
  <si>
    <t>Cells E53 through E54 contain data with one column: Total.</t>
  </si>
  <si>
    <t>The formula in cell E54: =SUM(D48 comma G48:G51 comma 100).</t>
  </si>
  <si>
    <t>If the formula in cell E54 could talk, it would say: Sum the following: the value in cell D48, the values in cells G48, G49, G50, and G51, and 100.</t>
  </si>
  <si>
    <t>The formula in cell E54 uses the following:</t>
  </si>
  <si>
    <t xml:space="preserve">• A single cell reference, which is the "address" or "name" of a cell. D48 is the single cell reference in the formula above. </t>
  </si>
  <si>
    <t xml:space="preserve">• A range of cells, which is a series of cells starting at one cell and ending at another. G48:G51 is the range of cells in the formula. </t>
  </si>
  <si>
    <t xml:space="preserve">• A constant, which is the number 100. </t>
  </si>
  <si>
    <t xml:space="preserve">IMPORTANT DETAIL: Go to cell E54. You'll notice the 100 toward the end of the formula. Although it's possible to put numbers in a formula like this, we don't recommend it unless it's absolutely necessary. This is known as a constant, and it's easy to forget that it's there. We recommend referring to another cell instead, like cell D16. That way it's easily seen and not hidden inside a formula. </t>
  </si>
  <si>
    <t>Go to cell A66 for the next instruction.</t>
  </si>
  <si>
    <t xml:space="preserve">More about the SUMIF function </t>
  </si>
  <si>
    <t xml:space="preserve">We also showed you the SUMIF function at the top of this sheet in cells A10 and A11. The SUMIF function sums up totals based on a criterion. </t>
  </si>
  <si>
    <t xml:space="preserve">Cells C72 through D77 contain data with two columns: Item and Amount. </t>
  </si>
  <si>
    <t>The formula in cell D78: =SUMIF(D73:D77 comma "&gt;50").</t>
  </si>
  <si>
    <t>If the SUMIF function could talk, it would say this: Sum up some values based on this criterion, look through these cells D73 through D77, and if the value is greater than 50 sum it up.</t>
  </si>
  <si>
    <t>NOTE: If you find you are making a lot of SUMIF formulas, you might find that a PivotTable is a better solution. See the PivotTable worksheet for more information.</t>
  </si>
  <si>
    <t xml:space="preserve">Cells F72 through G77 contain data with two columns: Item and Amount. </t>
  </si>
  <si>
    <t xml:space="preserve">GOOD TO KNOW: Go to cell G78. The formula in cell G78: =SUMIF(G73:G77 comma "&gt;=50") is different from the formula in cell D78. Specifically, the sum criteria is "&gt;=50" which means greater than or equal to 50. There are other operators you can use like "&lt;=50" which is less than or equal to 50. And there's "&lt;&gt;50" which is not equals 50. 
</t>
  </si>
  <si>
    <t>Go to cell A86 to go to the next instruction.</t>
  </si>
  <si>
    <t>More information on the web</t>
  </si>
  <si>
    <t>All about the SUM function</t>
  </si>
  <si>
    <t>All about the SUMIF function</t>
  </si>
  <si>
    <t>Use Excel as your calculator</t>
  </si>
  <si>
    <t>Free Excel training online</t>
  </si>
  <si>
    <t>Go back to top by pressing CTRL+HOME. To proceed to the next step, press CTRL+PAGE DOWN.</t>
  </si>
  <si>
    <t>Host</t>
  </si>
  <si>
    <t>http://localhost:8443</t>
  </si>
  <si>
    <t>Connection Details</t>
  </si>
  <si>
    <t>Username</t>
  </si>
  <si>
    <t>Save time by filling cells automatically</t>
  </si>
  <si>
    <t>Here’s how to use the fill feature in Excel:</t>
  </si>
  <si>
    <t>Cells C3 through G7 contain data with five columns: "This:" column, which contains the number 50 in each cell; "Plus this:" column, which contains the numbers 50, 60, 70, and 80; "Equals:" column, with cell E4 containing a sum of cells C4 and D4; "Plus this:" column, which contains the number 75 in each cell; and "Equals:" column with cell G4 containing the sum of cells E4 and F4.</t>
  </si>
  <si>
    <t xml:space="preserve">Go to cell E4. Press CTRL+G, type E4, then press Enter. </t>
  </si>
  <si>
    <t>Select cells E4, E5, E6, and E7 by holding the SHIFT key while pressing the ARROW DOWN key, then press CTRL+D. Excel will automatically fill the cells with the totals: 110, 120, and 130. People call this “filling down.”</t>
  </si>
  <si>
    <t>EXTRA CREDIT: Go to cell G4 and repeat the fill down steps above.</t>
  </si>
  <si>
    <t>Cells C10 through G14 contain data with five columns. These columns contain the heading from C3 to G3 and the values from cells C4 to G7 after executing steps in cells A5 and A6.</t>
  </si>
  <si>
    <t>Go to cell C15. Select cells C15, D15, E15, F15, and G15. This time press CTRL+R to fill the cells. This is known as “filling right.”</t>
  </si>
  <si>
    <t>Use the fill handle to copy cells</t>
  </si>
  <si>
    <t>Sometimes you don't need the numbers to change as you fill. Instead, you just want to copy values to other adjacent cells. Here's how to do that:</t>
  </si>
  <si>
    <t xml:space="preserve">Cells C33 to cell F37 contain four columns: Department, Category, Product, and Count. </t>
  </si>
  <si>
    <t>Go to cell C34. Select C34, C35, C36, C37 and press CTRL+D. The value in C34 is filled down into the selected cells.</t>
  </si>
  <si>
    <t>Go to cell A64 for the next instruction.</t>
  </si>
  <si>
    <t>Fill data automatically in worksheet cells</t>
  </si>
  <si>
    <t>Fill a formula down into adjacent cells</t>
  </si>
  <si>
    <t>CURRENT</t>
  </si>
  <si>
    <t>TARGET</t>
  </si>
  <si>
    <t>IGC Asset Balance Sheet</t>
  </si>
  <si>
    <t>TREND</t>
  </si>
  <si>
    <t>In just 3 steps, you'll be up and running with
IGC Balancesheet, a clear concise view of your Information Governance Catalog.</t>
  </si>
  <si>
    <t>Sample List--&gt;</t>
  </si>
  <si>
    <t>Click to see sample dropdown</t>
  </si>
  <si>
    <t>Clear and Concise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</si>
</sst>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9" x14ac:knownFonts="1">
    <font>
      <sz val="11"/>
      <color theme="1"/>
      <name val="Calibri"/>
      <family val="2"/>
      <scheme val="minor"/>
    </font>
    <font>
      <u/>
      <sz val="11"/>
      <color theme="10"/>
      <name val="Calibri"/>
      <family val="2"/>
      <scheme val="minor"/>
    </font>
    <font>
      <sz val="8"/>
      <color theme="1"/>
      <name val="Segoe UI Light"/>
      <family val="2"/>
    </font>
    <font>
      <sz val="11"/>
      <color theme="1"/>
      <name val="Calibri"/>
      <family val="2"/>
      <scheme val="minor"/>
    </font>
    <font>
      <sz val="8"/>
      <color theme="0" tint="-0.34998626667073579"/>
      <name val="Calibri"/>
      <family val="2"/>
      <scheme val="minor"/>
    </font>
    <font>
      <sz val="10"/>
      <color theme="1"/>
      <name val="Calibri"/>
      <family val="2"/>
      <scheme val="minor"/>
    </font>
    <font>
      <sz val="6"/>
      <color theme="0" tint="-0.34998626667073579"/>
      <name val="Calibri"/>
      <family val="2"/>
      <scheme val="minor"/>
    </font>
    <font>
      <b/>
      <sz val="11"/>
      <color theme="1"/>
      <name val="Calibri"/>
      <family val="2"/>
      <scheme val="minor"/>
    </font>
    <font>
      <sz val="11"/>
      <color theme="0"/>
      <name val="Calibri"/>
      <family val="2"/>
      <scheme val="minor"/>
    </font>
    <font>
      <sz val="11"/>
      <color rgb="FF0B744D"/>
      <name val="Calibri"/>
      <family val="2"/>
      <scheme val="minor"/>
    </font>
    <font>
      <sz val="72"/>
      <color theme="0"/>
      <name val="Cambria"/>
      <family val="2"/>
      <scheme val="major"/>
    </font>
    <font>
      <sz val="17"/>
      <color theme="0"/>
      <name val="Calibri"/>
      <family val="2"/>
      <scheme val="minor"/>
    </font>
    <font>
      <sz val="72"/>
      <color theme="0"/>
      <name val="Segoe UI Light"/>
      <family val="2"/>
    </font>
    <font>
      <sz val="26"/>
      <color theme="2" tint="-0.749992370372631"/>
      <name val="Calibri"/>
      <family val="2"/>
      <scheme val="minor"/>
    </font>
    <font>
      <sz val="12"/>
      <color theme="1" tint="0.249977111117893"/>
      <name val="Calibri"/>
      <family val="2"/>
      <scheme val="minor"/>
    </font>
    <font>
      <sz val="11"/>
      <color theme="0" tint="-0.34998626667073579"/>
      <name val="Calibri"/>
      <family val="2"/>
      <scheme val="minor"/>
    </font>
    <font>
      <sz val="11"/>
      <color theme="1"/>
      <name val="Segoe UI Light"/>
      <family val="2"/>
    </font>
    <font>
      <sz val="24"/>
      <color theme="0"/>
      <name val="Segoe UI Light"/>
      <family val="2"/>
    </font>
    <font>
      <sz val="17"/>
      <color theme="0"/>
      <name val="Bahnschrift Light"/>
      <family val="2"/>
    </font>
  </fonts>
  <fills count="11">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217346"/>
        <bgColor indexed="64"/>
      </patternFill>
    </fill>
    <fill>
      <patternFill patternType="solid">
        <fgColor rgb="FF339966"/>
        <bgColor indexed="64"/>
      </patternFill>
    </fill>
    <fill>
      <patternFill patternType="solid">
        <fgColor theme="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indexed="64"/>
      </top>
      <bottom style="medium">
        <color indexed="64"/>
      </bottom>
      <diagonal/>
    </border>
    <border>
      <left/>
      <right style="thin">
        <color theme="0" tint="-0.34998626667073579"/>
      </right>
      <top style="thin">
        <color indexed="64"/>
      </top>
      <bottom style="medium">
        <color indexed="64"/>
      </bottom>
      <diagonal/>
    </border>
    <border>
      <left style="thin">
        <color theme="0" tint="-0.34998626667073579"/>
      </left>
      <right/>
      <top style="thin">
        <color indexed="64"/>
      </top>
      <bottom style="medium">
        <color indexed="64"/>
      </bottom>
      <diagonal/>
    </border>
    <border>
      <left/>
      <right/>
      <top style="thin">
        <color indexed="64"/>
      </top>
      <bottom style="medium">
        <color indexed="64"/>
      </bottom>
      <diagonal/>
    </border>
    <border>
      <left style="thin">
        <color rgb="FFB2B2B2"/>
      </left>
      <right style="thin">
        <color rgb="FFB2B2B2"/>
      </right>
      <top style="thin">
        <color rgb="FFB2B2B2"/>
      </top>
      <bottom style="thin">
        <color rgb="FFB2B2B2"/>
      </bottom>
      <diagonal/>
    </border>
    <border>
      <left style="thick">
        <color rgb="FFF4B183"/>
      </left>
      <right style="thick">
        <color rgb="FFF4B183"/>
      </right>
      <top style="thick">
        <color rgb="FFF4B183"/>
      </top>
      <bottom style="thick">
        <color rgb="FFF4B183"/>
      </bottom>
      <diagonal/>
    </border>
    <border>
      <left/>
      <right/>
      <top/>
      <bottom style="thin">
        <color indexed="64"/>
      </bottom>
      <diagonal/>
    </border>
    <border>
      <left/>
      <right style="thin">
        <color theme="0" tint="-0.34998626667073579"/>
      </right>
      <top style="thin">
        <color theme="0" tint="-0.34998626667073579"/>
      </top>
      <bottom style="thin">
        <color theme="0" tint="-0.34998626667073579"/>
      </bottom>
      <diagonal/>
    </border>
  </borders>
  <cellStyleXfs count="14">
    <xf numFmtId="0" fontId="0" fillId="0" borderId="0"/>
    <xf numFmtId="0" fontId="1" fillId="0" borderId="0" applyNumberFormat="0" applyFill="0" applyBorder="0" applyAlignment="0" applyProtection="0"/>
    <xf numFmtId="43" fontId="3" fillId="0" borderId="0" applyFont="0" applyFill="0" applyBorder="0" applyAlignment="0" applyProtection="0"/>
    <xf numFmtId="0" fontId="9" fillId="0" borderId="0" applyFill="0" applyBorder="0">
      <alignment wrapText="1"/>
    </xf>
    <xf numFmtId="0" fontId="10" fillId="8" borderId="0" applyNumberFormat="0" applyBorder="0" applyProtection="0">
      <alignment horizontal="left" indent="1"/>
    </xf>
    <xf numFmtId="0" fontId="11" fillId="8" borderId="0" applyNumberFormat="0" applyProtection="0">
      <alignment horizontal="left" wrapText="1" indent="4"/>
    </xf>
    <xf numFmtId="0" fontId="9" fillId="8" borderId="0" applyNumberFormat="0" applyProtection="0">
      <alignment horizontal="left" wrapText="1" indent="4"/>
    </xf>
    <xf numFmtId="0" fontId="8" fillId="0" borderId="0"/>
    <xf numFmtId="0" fontId="8" fillId="9" borderId="0" applyNumberFormat="0" applyBorder="0" applyProtection="0"/>
    <xf numFmtId="0" fontId="3" fillId="5" borderId="0"/>
    <xf numFmtId="0" fontId="3" fillId="4" borderId="18"/>
    <xf numFmtId="0" fontId="3" fillId="5" borderId="19"/>
    <xf numFmtId="0" fontId="3" fillId="0" borderId="20" applyNumberFormat="0" applyFont="0" applyFill="0" applyAlignment="0"/>
    <xf numFmtId="0" fontId="7" fillId="0" borderId="0" applyNumberFormat="0" applyFill="0" applyBorder="0" applyAlignment="0" applyProtection="0"/>
  </cellStyleXfs>
  <cellXfs count="74">
    <xf numFmtId="0" fontId="0" fillId="0" borderId="0" xfId="0"/>
    <xf numFmtId="0" fontId="0" fillId="2" borderId="1" xfId="0" applyFill="1" applyBorder="1"/>
    <xf numFmtId="49" fontId="0" fillId="3" borderId="1" xfId="0" applyNumberFormat="1" applyFill="1" applyBorder="1" applyAlignment="1">
      <alignment wrapText="1"/>
    </xf>
    <xf numFmtId="0" fontId="1" fillId="0" borderId="0" xfId="1"/>
    <xf numFmtId="0" fontId="0" fillId="0" borderId="0" xfId="0" applyAlignment="1">
      <alignment wrapText="1"/>
    </xf>
    <xf numFmtId="0" fontId="2" fillId="0" borderId="0" xfId="0" applyFont="1"/>
    <xf numFmtId="0" fontId="0" fillId="0" borderId="3" xfId="0" applyBorder="1"/>
    <xf numFmtId="0" fontId="0" fillId="0" borderId="4" xfId="0" applyBorder="1"/>
    <xf numFmtId="0" fontId="0" fillId="0" borderId="5" xfId="0" applyBorder="1"/>
    <xf numFmtId="0" fontId="0" fillId="0" borderId="0" xfId="0" applyBorder="1"/>
    <xf numFmtId="0" fontId="0" fillId="0" borderId="6" xfId="0" applyBorder="1"/>
    <xf numFmtId="0" fontId="2" fillId="0" borderId="7" xfId="0" applyFont="1" applyBorder="1"/>
    <xf numFmtId="0" fontId="0" fillId="0" borderId="7" xfId="0" applyBorder="1"/>
    <xf numFmtId="0" fontId="0" fillId="0" borderId="8" xfId="0" applyBorder="1"/>
    <xf numFmtId="0" fontId="0" fillId="0" borderId="2" xfId="0" applyBorder="1"/>
    <xf numFmtId="0" fontId="0" fillId="0" borderId="9" xfId="0" applyBorder="1"/>
    <xf numFmtId="0" fontId="0" fillId="0" borderId="11" xfId="0" applyBorder="1"/>
    <xf numFmtId="0" fontId="0" fillId="0" borderId="13" xfId="0" applyBorder="1"/>
    <xf numFmtId="0" fontId="5" fillId="0" borderId="0" xfId="0" applyFont="1" applyBorder="1"/>
    <xf numFmtId="0" fontId="6" fillId="0" borderId="0" xfId="0" applyFont="1" applyAlignment="1">
      <alignment vertical="top"/>
    </xf>
    <xf numFmtId="0" fontId="1" fillId="4" borderId="12" xfId="1" applyFill="1" applyBorder="1" applyProtection="1">
      <protection locked="0"/>
    </xf>
    <xf numFmtId="0" fontId="0" fillId="4" borderId="12" xfId="0" applyFill="1" applyBorder="1" applyProtection="1">
      <protection locked="0"/>
    </xf>
    <xf numFmtId="0" fontId="0" fillId="0" borderId="0" xfId="0" applyProtection="1">
      <protection locked="0"/>
    </xf>
    <xf numFmtId="0" fontId="4" fillId="0" borderId="1" xfId="0" applyFont="1" applyFill="1" applyBorder="1" applyAlignment="1">
      <alignment horizontal="center"/>
    </xf>
    <xf numFmtId="0" fontId="9" fillId="8" borderId="0" xfId="3" applyFill="1">
      <alignment wrapText="1"/>
    </xf>
    <xf numFmtId="0" fontId="11" fillId="8" borderId="0" xfId="5">
      <alignment horizontal="left" wrapText="1" indent="4"/>
    </xf>
    <xf numFmtId="0" fontId="9" fillId="8" borderId="0" xfId="6">
      <alignment horizontal="left" wrapText="1" indent="4"/>
    </xf>
    <xf numFmtId="0" fontId="12" fillId="8" borderId="0" xfId="4" applyFont="1">
      <alignment horizontal="left" indent="1"/>
    </xf>
    <xf numFmtId="0" fontId="8" fillId="0" borderId="0" xfId="7"/>
    <xf numFmtId="0" fontId="13" fillId="0" borderId="0" xfId="0" applyFont="1" applyAlignment="1"/>
    <xf numFmtId="0" fontId="3" fillId="0" borderId="0" xfId="0" applyFont="1" applyAlignment="1"/>
    <xf numFmtId="0" fontId="14" fillId="0" borderId="0" xfId="0" applyFont="1" applyAlignment="1"/>
    <xf numFmtId="0" fontId="8" fillId="9" borderId="0" xfId="8"/>
    <xf numFmtId="0" fontId="3" fillId="5" borderId="0" xfId="9"/>
    <xf numFmtId="0" fontId="3" fillId="0" borderId="0" xfId="0" applyFont="1" applyAlignment="1">
      <alignment horizontal="left"/>
    </xf>
    <xf numFmtId="0" fontId="14" fillId="0" borderId="0" xfId="0" applyFont="1" applyAlignment="1">
      <alignment horizontal="left"/>
    </xf>
    <xf numFmtId="0" fontId="3" fillId="4" borderId="18" xfId="10" applyFont="1"/>
    <xf numFmtId="0" fontId="3" fillId="0" borderId="0" xfId="0" applyFont="1"/>
    <xf numFmtId="0" fontId="0" fillId="5" borderId="0" xfId="9" applyFont="1"/>
    <xf numFmtId="0" fontId="0" fillId="4" borderId="18" xfId="10" applyFont="1"/>
    <xf numFmtId="0" fontId="1" fillId="4" borderId="18" xfId="1" applyFill="1" applyBorder="1" applyProtection="1">
      <protection locked="0"/>
    </xf>
    <xf numFmtId="0" fontId="0" fillId="4" borderId="18" xfId="10" applyFont="1" applyProtection="1">
      <protection locked="0"/>
    </xf>
    <xf numFmtId="0" fontId="8" fillId="0" borderId="0" xfId="7" applyFont="1"/>
    <xf numFmtId="0" fontId="3" fillId="5" borderId="0" xfId="9" applyFont="1"/>
    <xf numFmtId="0" fontId="15" fillId="5" borderId="0" xfId="9" applyFont="1"/>
    <xf numFmtId="0" fontId="0" fillId="0" borderId="11" xfId="0" applyFont="1" applyBorder="1" applyProtection="1">
      <protection locked="0"/>
    </xf>
    <xf numFmtId="0" fontId="0" fillId="0" borderId="2" xfId="0" applyFont="1" applyBorder="1" applyProtection="1">
      <protection locked="0"/>
    </xf>
    <xf numFmtId="0" fontId="16" fillId="0" borderId="10" xfId="0" applyFont="1" applyBorder="1"/>
    <xf numFmtId="0" fontId="0" fillId="0" borderId="10" xfId="0" applyFont="1" applyBorder="1"/>
    <xf numFmtId="164" fontId="3" fillId="0" borderId="11" xfId="2" applyNumberFormat="1" applyFont="1" applyBorder="1" applyProtection="1">
      <protection locked="0"/>
    </xf>
    <xf numFmtId="164" fontId="3" fillId="0" borderId="11" xfId="2" applyNumberFormat="1" applyFont="1" applyBorder="1"/>
    <xf numFmtId="164" fontId="3" fillId="0" borderId="13" xfId="2" applyNumberFormat="1" applyFont="1" applyBorder="1" applyProtection="1">
      <protection locked="0"/>
    </xf>
    <xf numFmtId="164" fontId="7" fillId="6" borderId="17" xfId="2" applyNumberFormat="1" applyFont="1" applyFill="1" applyBorder="1"/>
    <xf numFmtId="164" fontId="3" fillId="0" borderId="2" xfId="2" applyNumberFormat="1" applyFont="1" applyBorder="1" applyProtection="1">
      <protection locked="0"/>
    </xf>
    <xf numFmtId="164" fontId="3" fillId="5" borderId="2" xfId="2" applyNumberFormat="1" applyFont="1" applyFill="1" applyBorder="1" applyProtection="1">
      <protection locked="0"/>
    </xf>
    <xf numFmtId="164" fontId="3" fillId="5" borderId="13" xfId="2" applyNumberFormat="1" applyFont="1" applyFill="1" applyBorder="1" applyProtection="1">
      <protection locked="0"/>
    </xf>
    <xf numFmtId="164" fontId="7" fillId="7" borderId="16" xfId="2" applyNumberFormat="1" applyFont="1" applyFill="1" applyBorder="1"/>
    <xf numFmtId="164" fontId="7" fillId="7" borderId="17" xfId="2" applyNumberFormat="1" applyFont="1" applyFill="1" applyBorder="1"/>
    <xf numFmtId="164" fontId="7" fillId="7" borderId="15" xfId="2" applyNumberFormat="1" applyFont="1" applyFill="1" applyBorder="1"/>
    <xf numFmtId="0" fontId="7" fillId="7" borderId="14" xfId="0" applyFont="1" applyFill="1" applyBorder="1"/>
    <xf numFmtId="0" fontId="8" fillId="8" borderId="0" xfId="8" applyFill="1"/>
    <xf numFmtId="0" fontId="8" fillId="8" borderId="0" xfId="8" applyFill="1" applyAlignment="1">
      <alignment horizontal="center"/>
    </xf>
    <xf numFmtId="0" fontId="0" fillId="0" borderId="10" xfId="0" applyBorder="1"/>
    <xf numFmtId="0" fontId="4" fillId="0" borderId="0" xfId="0" applyFont="1" applyFill="1" applyBorder="1" applyAlignment="1">
      <alignment horizontal="center"/>
    </xf>
    <xf numFmtId="0" fontId="0" fillId="0" borderId="8" xfId="0" applyFont="1" applyBorder="1" applyProtection="1">
      <protection locked="0"/>
    </xf>
    <xf numFmtId="0" fontId="0" fillId="0" borderId="21" xfId="0" applyFont="1" applyBorder="1" applyProtection="1">
      <protection locked="0"/>
    </xf>
    <xf numFmtId="0" fontId="0" fillId="5" borderId="2" xfId="0" applyFont="1" applyFill="1" applyBorder="1" applyProtection="1">
      <protection locked="0"/>
    </xf>
    <xf numFmtId="0" fontId="0" fillId="5" borderId="13" xfId="0" applyFont="1" applyFill="1" applyBorder="1" applyProtection="1">
      <protection locked="0"/>
    </xf>
    <xf numFmtId="0" fontId="0" fillId="0" borderId="0" xfId="0" applyFont="1"/>
    <xf numFmtId="0" fontId="0" fillId="0" borderId="0" xfId="0" applyFont="1" applyAlignment="1">
      <alignment horizontal="left"/>
    </xf>
    <xf numFmtId="0" fontId="7" fillId="5" borderId="0" xfId="0" applyFont="1" applyFill="1" applyProtection="1">
      <protection locked="0"/>
    </xf>
    <xf numFmtId="0" fontId="18" fillId="8" borderId="0" xfId="5" applyFont="1">
      <alignment horizontal="left" wrapText="1" indent="4"/>
    </xf>
    <xf numFmtId="0" fontId="1" fillId="10" borderId="0" xfId="1" applyFill="1" applyAlignment="1">
      <alignment horizontal="center"/>
    </xf>
    <xf numFmtId="0" fontId="17" fillId="8" borderId="0" xfId="0" applyFont="1" applyFill="1" applyAlignment="1">
      <alignment horizontal="center"/>
    </xf>
  </cellXfs>
  <cellStyles count="14">
    <cellStyle name="Bottom Border" xfId="12" xr:uid="{4E971199-7D04-484A-BE10-88A08CE28955}"/>
    <cellStyle name="Comma" xfId="2" builtinId="3"/>
    <cellStyle name="GrayCell" xfId="9" xr:uid="{54B2472A-4F5A-4473-BB47-FEFFFC7228A7}"/>
    <cellStyle name="Heading 1 2" xfId="5" xr:uid="{2D40C816-4A02-4A9F-A4FA-5A1B83FAD425}"/>
    <cellStyle name="Heading 2 2" xfId="6" xr:uid="{4CF764F1-FF9E-4534-881F-190AA0CD0A5A}"/>
    <cellStyle name="Heading 3 2" xfId="8" xr:uid="{5DF55874-72F6-42F9-A041-3149D9D53073}"/>
    <cellStyle name="Heading 4 2" xfId="13" xr:uid="{C4923787-51E3-4001-B8C4-4900AC1C6EB2}"/>
    <cellStyle name="Hyperlink" xfId="1" builtinId="8"/>
    <cellStyle name="Normal" xfId="0" builtinId="0"/>
    <cellStyle name="OrangeBorder" xfId="11" xr:uid="{87F5A37E-32D7-49E1-93F9-9EE22CD16134}"/>
    <cellStyle name="Start Text" xfId="3" xr:uid="{481D0EE1-E3C2-4A91-91E4-292DEF6BA562}"/>
    <cellStyle name="Title 2" xfId="4" xr:uid="{9A54741E-16AD-4A91-BC89-59CF4685E04A}"/>
    <cellStyle name="YellowCell" xfId="10" xr:uid="{32037261-DC60-4A56-BCB7-DA0746909D76}"/>
    <cellStyle name="z A Column text" xfId="7" xr:uid="{731D1743-E947-4E95-842E-D838306CADB6}"/>
  </cellStyles>
  <dxfs count="1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6" tint="0.59996337778862885"/>
        </patternFill>
      </fill>
    </dxf>
    <dxf>
      <fill>
        <patternFill>
          <bgColor rgb="FFFF0000"/>
        </patternFill>
      </fill>
    </dxf>
  </dxfs>
  <tableStyles count="0" defaultTableStyle="TableStyleMedium2" defaultPivotStyle="PivotStyleLight16"/>
  <colors>
    <mruColors>
      <color rgb="FF217346"/>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1. Add'!A1"/></Relationships>
</file>

<file path=xl/drawings/_rels/drawing2.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hyperlink" Target="#'2. Fill'!A1"/><Relationship Id="rId5" Type="http://schemas.openxmlformats.org/officeDocument/2006/relationships/image" Target="../media/image6.sv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3.svg"/><Relationship Id="rId18" Type="http://schemas.openxmlformats.org/officeDocument/2006/relationships/image" Target="../media/image17.emf"/><Relationship Id="rId3" Type="http://schemas.openxmlformats.org/officeDocument/2006/relationships/image" Target="../media/image8.svg"/><Relationship Id="rId7" Type="http://schemas.openxmlformats.org/officeDocument/2006/relationships/hyperlink" Target="https://go.microsoft.com/fwlink/?linkid=844741" TargetMode="External"/><Relationship Id="rId12" Type="http://schemas.openxmlformats.org/officeDocument/2006/relationships/image" Target="../media/image12.png"/><Relationship Id="rId17" Type="http://schemas.openxmlformats.org/officeDocument/2006/relationships/image" Target="../media/image16.png"/><Relationship Id="rId2" Type="http://schemas.openxmlformats.org/officeDocument/2006/relationships/image" Target="../media/image7.png"/><Relationship Id="rId16" Type="http://schemas.openxmlformats.org/officeDocument/2006/relationships/hyperlink" Target="#Status"/><Relationship Id="rId1" Type="http://schemas.openxmlformats.org/officeDocument/2006/relationships/hyperlink" Target="#'3. Use'!A1"/><Relationship Id="rId6" Type="http://schemas.openxmlformats.org/officeDocument/2006/relationships/hyperlink" Target="https://www.senya.co.uk" TargetMode="External"/><Relationship Id="rId11" Type="http://schemas.openxmlformats.org/officeDocument/2006/relationships/hyperlink" Target="https://go.microsoft.com/fwlink/?linkid=844745" TargetMode="External"/><Relationship Id="rId5" Type="http://schemas.openxmlformats.org/officeDocument/2006/relationships/hyperlink" Target="#'2. Fill'!A1"/><Relationship Id="rId15" Type="http://schemas.openxmlformats.org/officeDocument/2006/relationships/image" Target="../media/image15.svg"/><Relationship Id="rId10" Type="http://schemas.openxmlformats.org/officeDocument/2006/relationships/hyperlink" Target="https://www.deonpollard.com" TargetMode="External"/><Relationship Id="rId4" Type="http://schemas.openxmlformats.org/officeDocument/2006/relationships/image" Target="../media/image9.png"/><Relationship Id="rId9" Type="http://schemas.openxmlformats.org/officeDocument/2006/relationships/image" Target="../media/image11.svg"/><Relationship Id="rId14" Type="http://schemas.openxmlformats.org/officeDocument/2006/relationships/image" Target="../media/image14.png"/></Relationships>
</file>

<file path=xl/drawings/_rels/drawing4.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gif"/><Relationship Id="rId1" Type="http://schemas.openxmlformats.org/officeDocument/2006/relationships/image" Target="../media/image18.gif"/><Relationship Id="rId6" Type="http://schemas.openxmlformats.org/officeDocument/2006/relationships/image" Target="../media/image23.png"/><Relationship Id="rId5" Type="http://schemas.openxmlformats.org/officeDocument/2006/relationships/image" Target="../media/image22.png"/><Relationship Id="rId10" Type="http://schemas.openxmlformats.org/officeDocument/2006/relationships/image" Target="../media/image27.svg"/><Relationship Id="rId4" Type="http://schemas.openxmlformats.org/officeDocument/2006/relationships/image" Target="../media/image21.png"/><Relationship Id="rId9"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absoluteAnchor>
    <xdr:pos x="6962775" y="4641850"/>
    <xdr:ext cx="1170432" cy="514350"/>
    <xdr:sp macro="" textlink="">
      <xdr:nvSpPr>
        <xdr:cNvPr id="3" name="Next Button" descr="Hyperlinked button shape to navigate to the next step">
          <a:hlinkClick xmlns:r="http://schemas.openxmlformats.org/officeDocument/2006/relationships" r:id="rId1" tooltip="Select to start the tour"/>
          <a:extLst>
            <a:ext uri="{FF2B5EF4-FFF2-40B4-BE49-F238E27FC236}">
              <a16:creationId xmlns:a16="http://schemas.microsoft.com/office/drawing/2014/main" id="{00000000-0008-0000-0000-000003000000}"/>
            </a:ext>
          </a:extLst>
        </xdr:cNvPr>
        <xdr:cNvSpPr/>
      </xdr:nvSpPr>
      <xdr:spPr>
        <a:xfrm>
          <a:off x="6962775" y="4641850"/>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twoCellAnchor>
    <xdr:from>
      <xdr:col>0</xdr:col>
      <xdr:colOff>880110</xdr:colOff>
      <xdr:row>3</xdr:row>
      <xdr:rowOff>2689861</xdr:rowOff>
    </xdr:from>
    <xdr:to>
      <xdr:col>0</xdr:col>
      <xdr:colOff>2804159</xdr:colOff>
      <xdr:row>3</xdr:row>
      <xdr:rowOff>3009901</xdr:rowOff>
    </xdr:to>
    <xdr:sp macro="" textlink="">
      <xdr:nvSpPr>
        <xdr:cNvPr id="7" name="Step" descr="Rest your cursor on the lower-right corner of the cell until &#10;it becomes a cross:">
          <a:extLst>
            <a:ext uri="{FF2B5EF4-FFF2-40B4-BE49-F238E27FC236}">
              <a16:creationId xmlns:a16="http://schemas.microsoft.com/office/drawing/2014/main" id="{00000000-0008-0000-0000-000007000000}"/>
            </a:ext>
          </a:extLst>
        </xdr:cNvPr>
        <xdr:cNvSpPr txBox="1"/>
      </xdr:nvSpPr>
      <xdr:spPr>
        <a:xfrm>
          <a:off x="880110" y="4716781"/>
          <a:ext cx="1924049"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600" kern="0">
              <a:solidFill>
                <a:schemeClr val="bg1"/>
              </a:solidFill>
              <a:latin typeface="Bahnschrift Light" panose="020B0502040204020203" pitchFamily="34" charset="0"/>
              <a:ea typeface="Segoe UI" pitchFamily="34" charset="0"/>
              <a:cs typeface="Segoe UI" panose="020B0502040204020203" pitchFamily="34" charset="0"/>
            </a:rPr>
            <a:t>IGC BalanceSheet</a:t>
          </a:r>
        </a:p>
      </xdr:txBody>
    </xdr:sp>
    <xdr:clientData/>
  </xdr:twoCellAnchor>
  <xdr:twoCellAnchor editAs="oneCell">
    <xdr:from>
      <xdr:col>0</xdr:col>
      <xdr:colOff>480060</xdr:colOff>
      <xdr:row>3</xdr:row>
      <xdr:rowOff>2645064</xdr:rowOff>
    </xdr:from>
    <xdr:to>
      <xdr:col>0</xdr:col>
      <xdr:colOff>887730</xdr:colOff>
      <xdr:row>3</xdr:row>
      <xdr:rowOff>3040380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2">
          <a:biLevel thresh="25000"/>
          <a:extLst>
            <a:ext uri="{28A0092B-C50C-407E-A947-70E740481C1C}">
              <a14:useLocalDpi xmlns:a14="http://schemas.microsoft.com/office/drawing/2010/main" val="0"/>
            </a:ext>
          </a:extLst>
        </a:blip>
        <a:stretch>
          <a:fillRect/>
        </a:stretch>
      </xdr:blipFill>
      <xdr:spPr>
        <a:xfrm>
          <a:off x="480060" y="4671984"/>
          <a:ext cx="407670" cy="39531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82820</xdr:colOff>
      <xdr:row>40</xdr:row>
      <xdr:rowOff>89000</xdr:rowOff>
    </xdr:from>
    <xdr:to>
      <xdr:col>6</xdr:col>
      <xdr:colOff>505223</xdr:colOff>
      <xdr:row>41</xdr:row>
      <xdr:rowOff>86653</xdr:rowOff>
    </xdr:to>
    <xdr:pic>
      <xdr:nvPicPr>
        <xdr:cNvPr id="2" name="Status bar graphic" descr="Status bar graphic Sum: 170">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t="5716"/>
        <a:stretch/>
      </xdr:blipFill>
      <xdr:spPr>
        <a:xfrm>
          <a:off x="8918210" y="8280500"/>
          <a:ext cx="1062483" cy="188153"/>
        </a:xfrm>
        <a:prstGeom prst="rect">
          <a:avLst/>
        </a:prstGeom>
      </xdr:spPr>
    </xdr:pic>
    <xdr:clientData/>
  </xdr:twoCellAnchor>
  <xdr:twoCellAnchor editAs="oneCell">
    <xdr:from>
      <xdr:col>3</xdr:col>
      <xdr:colOff>569395</xdr:colOff>
      <xdr:row>36</xdr:row>
      <xdr:rowOff>82549</xdr:rowOff>
    </xdr:from>
    <xdr:to>
      <xdr:col>6</xdr:col>
      <xdr:colOff>165737</xdr:colOff>
      <xdr:row>43</xdr:row>
      <xdr:rowOff>158750</xdr:rowOff>
    </xdr:to>
    <xdr:grpSp>
      <xdr:nvGrpSpPr>
        <xdr:cNvPr id="40" name="CHECK THIS OUT" descr="CHECK THIS OUT&#10;Select these cells. Then in the lower-right corner of the Excel window, look for this:&#10;SUM: 170&#10;That's just another way to quickly find a total&#10;">
          <a:extLst>
            <a:ext uri="{FF2B5EF4-FFF2-40B4-BE49-F238E27FC236}">
              <a16:creationId xmlns:a16="http://schemas.microsoft.com/office/drawing/2014/main" id="{00000000-0008-0000-0100-000028000000}"/>
            </a:ext>
          </a:extLst>
        </xdr:cNvPr>
        <xdr:cNvGrpSpPr/>
      </xdr:nvGrpSpPr>
      <xdr:grpSpPr>
        <a:xfrm>
          <a:off x="8307505" y="7512049"/>
          <a:ext cx="2792932" cy="1409701"/>
          <a:chOff x="7539454" y="7993902"/>
          <a:chExt cx="2562091" cy="1409701"/>
        </a:xfrm>
      </xdr:grpSpPr>
      <xdr:grpSp>
        <xdr:nvGrpSpPr>
          <xdr:cNvPr id="41" name="Bracket lines">
            <a:extLst>
              <a:ext uri="{FF2B5EF4-FFF2-40B4-BE49-F238E27FC236}">
                <a16:creationId xmlns:a16="http://schemas.microsoft.com/office/drawing/2014/main" id="{00000000-0008-0000-0100-000029000000}"/>
              </a:ext>
            </a:extLst>
          </xdr:cNvPr>
          <xdr:cNvGrpSpPr/>
        </xdr:nvGrpSpPr>
        <xdr:grpSpPr>
          <a:xfrm rot="599914">
            <a:off x="7539454" y="8145377"/>
            <a:ext cx="293814" cy="698211"/>
            <a:chOff x="9871108" y="1184220"/>
            <a:chExt cx="273326" cy="789155"/>
          </a:xfrm>
        </xdr:grpSpPr>
        <xdr:sp macro="" textlink="">
          <xdr:nvSpPr>
            <xdr:cNvPr id="44" name="Another bracket line" descr="Bracket line">
              <a:extLst>
                <a:ext uri="{FF2B5EF4-FFF2-40B4-BE49-F238E27FC236}">
                  <a16:creationId xmlns:a16="http://schemas.microsoft.com/office/drawing/2014/main" id="{00000000-0008-0000-0100-00002C000000}"/>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45" name="Bracket line" descr="Bracket line&#10;">
              <a:extLst>
                <a:ext uri="{FF2B5EF4-FFF2-40B4-BE49-F238E27FC236}">
                  <a16:creationId xmlns:a16="http://schemas.microsoft.com/office/drawing/2014/main" id="{00000000-0008-0000-0100-00002D000000}"/>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42" name="Stars" descr="Stars">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830674" y="8038700"/>
            <a:ext cx="388098" cy="337815"/>
          </a:xfrm>
          <a:prstGeom prst="rect">
            <a:avLst/>
          </a:prstGeom>
        </xdr:spPr>
      </xdr:pic>
      <xdr:sp macro="" textlink="">
        <xdr:nvSpPr>
          <xdr:cNvPr id="43" name="Instructions" descr="Select these cells. Then in the lower-right corner of the Excel window, look for this:&#10;Sum: 170&#10;That's just another way to quickly find a total&#10;">
            <a:extLst>
              <a:ext uri="{FF2B5EF4-FFF2-40B4-BE49-F238E27FC236}">
                <a16:creationId xmlns:a16="http://schemas.microsoft.com/office/drawing/2014/main" id="{00000000-0008-0000-0100-00002B000000}"/>
              </a:ext>
            </a:extLst>
          </xdr:cNvPr>
          <xdr:cNvSpPr txBox="1"/>
        </xdr:nvSpPr>
        <xdr:spPr>
          <a:xfrm>
            <a:off x="8132529" y="7993902"/>
            <a:ext cx="196901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Select these cells. Then in the lower-right corner of the</a:t>
            </a:r>
            <a:r>
              <a:rPr lang="en-US" sz="1100" kern="0" baseline="0">
                <a:solidFill>
                  <a:schemeClr val="bg2">
                    <a:lumMod val="25000"/>
                  </a:schemeClr>
                </a:solidFill>
                <a:latin typeface="+mn-lt"/>
                <a:ea typeface="Segoe UI" pitchFamily="34" charset="0"/>
                <a:cs typeface="Segoe UI Light" panose="020B0502040204020203" pitchFamily="34" charset="0"/>
              </a:rPr>
              <a:t> Excel window, look for this:</a:t>
            </a:r>
          </a:p>
          <a:p>
            <a:pPr lvl="0">
              <a:defRPr/>
            </a:pPr>
            <a:br>
              <a:rPr lang="en-US" sz="1100" kern="0" baseline="0">
                <a:solidFill>
                  <a:schemeClr val="bg2">
                    <a:lumMod val="25000"/>
                  </a:schemeClr>
                </a:solidFill>
                <a:latin typeface="+mn-lt"/>
                <a:ea typeface="Segoe UI" pitchFamily="34" charset="0"/>
                <a:cs typeface="Segoe UI Light" panose="020B0502040204020203" pitchFamily="34" charset="0"/>
              </a:rPr>
            </a:b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a:defRPr/>
            </a:pPr>
            <a:r>
              <a:rPr lang="en-US" sz="1100" kern="0" baseline="0">
                <a:solidFill>
                  <a:schemeClr val="bg2">
                    <a:lumMod val="25000"/>
                  </a:schemeClr>
                </a:solidFill>
                <a:latin typeface="+mn-lt"/>
                <a:ea typeface="Segoe UI" pitchFamily="34" charset="0"/>
                <a:cs typeface="Segoe UI Light" panose="020B0502040204020203" pitchFamily="34" charset="0"/>
              </a:rPr>
              <a:t>That's just another way to quickly find a total. </a:t>
            </a:r>
            <a:endParaRPr lang="en-US" sz="1100">
              <a:solidFill>
                <a:schemeClr val="bg2">
                  <a:lumMod val="25000"/>
                </a:schemeClr>
              </a:solidFill>
              <a:latin typeface="+mn-lt"/>
              <a:ea typeface="Segoe UI" pitchFamily="34" charset="0"/>
              <a:cs typeface="Segoe UI Light" panose="020B0502040204020203" pitchFamily="34" charset="0"/>
            </a:endParaRPr>
          </a:p>
        </xdr:txBody>
      </xdr:sp>
    </xdr:grpSp>
    <xdr:clientData/>
  </xdr:twoCellAnchor>
  <xdr:twoCellAnchor editAs="oneCell">
    <xdr:from>
      <xdr:col>3</xdr:col>
      <xdr:colOff>2051685</xdr:colOff>
      <xdr:row>3</xdr:row>
      <xdr:rowOff>188595</xdr:rowOff>
    </xdr:from>
    <xdr:to>
      <xdr:col>8</xdr:col>
      <xdr:colOff>80010</xdr:colOff>
      <xdr:row>11</xdr:row>
      <xdr:rowOff>45719</xdr:rowOff>
    </xdr:to>
    <xdr:grpSp>
      <xdr:nvGrpSpPr>
        <xdr:cNvPr id="74" name="Group 73" descr="EXTRA CREDIT&#10;Try adding another SUMIF formula here, but add amounts that are less than 100. The result should be 160&#10;">
          <a:extLst>
            <a:ext uri="{FF2B5EF4-FFF2-40B4-BE49-F238E27FC236}">
              <a16:creationId xmlns:a16="http://schemas.microsoft.com/office/drawing/2014/main" id="{00000000-0008-0000-0100-00004A000000}"/>
            </a:ext>
          </a:extLst>
        </xdr:cNvPr>
        <xdr:cNvGrpSpPr/>
      </xdr:nvGrpSpPr>
      <xdr:grpSpPr>
        <a:xfrm>
          <a:off x="9789795" y="1331595"/>
          <a:ext cx="2505075" cy="1381124"/>
          <a:chOff x="9048750" y="3743325"/>
          <a:chExt cx="2162175" cy="1381124"/>
        </a:xfrm>
      </xdr:grpSpPr>
      <xdr:sp macro="" textlink="">
        <xdr:nvSpPr>
          <xdr:cNvPr id="75" name="Step" descr="EXTRA CREDIT&#10;Try adding another SUMIF formula here, but add amounts that are less than 100. The result should be 160">
            <a:extLst>
              <a:ext uri="{FF2B5EF4-FFF2-40B4-BE49-F238E27FC236}">
                <a16:creationId xmlns:a16="http://schemas.microsoft.com/office/drawing/2014/main" id="{00000000-0008-0000-0100-00004B000000}"/>
              </a:ext>
            </a:extLst>
          </xdr:cNvPr>
          <xdr:cNvSpPr txBox="1"/>
        </xdr:nvSpPr>
        <xdr:spPr>
          <a:xfrm>
            <a:off x="9648643" y="3895724"/>
            <a:ext cx="1562282"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panose="020B0502040204020203" pitchFamily="34" charset="0"/>
              </a:rPr>
              <a:t>IP Number</a:t>
            </a:r>
            <a:endParaRPr lang="en-US" sz="1200" b="1">
              <a:solidFill>
                <a:srgbClr val="ED7D31">
                  <a:lumMod val="60000"/>
                  <a:lumOff val="40000"/>
                </a:srgbClr>
              </a:solidFill>
              <a:latin typeface="+mj-lt"/>
              <a:ea typeface="Segoe UI" pitchFamily="34" charset="0"/>
              <a:cs typeface="Segoe UI"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Optionally Hostname can be the IP address of the IGC instance: therefore for example  it would look like:</a:t>
            </a:r>
          </a:p>
          <a:p>
            <a:pPr eaLnBrk="1" fontAlgn="auto" latinLnBrk="0" hangingPunct="1"/>
            <a:r>
              <a:rPr lang="en-US" sz="1100" b="1" i="0" kern="1200" baseline="0">
                <a:solidFill>
                  <a:schemeClr val="dk1"/>
                </a:solidFill>
                <a:effectLst/>
                <a:latin typeface="+mn-lt"/>
                <a:ea typeface="+mn-ea"/>
                <a:cs typeface="+mn-cs"/>
              </a:rPr>
              <a:t>https://192.164.4.1:8443</a:t>
            </a:r>
          </a:p>
        </xdr:txBody>
      </xdr:sp>
      <xdr:pic>
        <xdr:nvPicPr>
          <xdr:cNvPr id="76" name="Extra credit ribbon" descr="Decorative ribbon">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9287099" y="3950551"/>
            <a:ext cx="474289" cy="439736"/>
          </a:xfrm>
          <a:prstGeom prst="rect">
            <a:avLst/>
          </a:prstGeom>
        </xdr:spPr>
      </xdr:pic>
      <xdr:sp macro="" textlink="">
        <xdr:nvSpPr>
          <xdr:cNvPr id="77" name="Extra Credit Arrow" descr="Arrow">
            <a:extLst>
              <a:ext uri="{FF2B5EF4-FFF2-40B4-BE49-F238E27FC236}">
                <a16:creationId xmlns:a16="http://schemas.microsoft.com/office/drawing/2014/main" id="{00000000-0008-0000-0100-00004D000000}"/>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editAs="oneCell">
    <xdr:from>
      <xdr:col>0</xdr:col>
      <xdr:colOff>326572</xdr:colOff>
      <xdr:row>0</xdr:row>
      <xdr:rowOff>266701</xdr:rowOff>
    </xdr:from>
    <xdr:to>
      <xdr:col>1</xdr:col>
      <xdr:colOff>5174797</xdr:colOff>
      <xdr:row>22</xdr:row>
      <xdr:rowOff>76201</xdr:rowOff>
    </xdr:to>
    <xdr:grpSp>
      <xdr:nvGrpSpPr>
        <xdr:cNvPr id="78" name="Add numbers like a champ" descr="Add numbers like a champ &#10;Here are some ways to add up numbers in Excel: &#10;Select the yellow cell under the amounts for fruit. &#10;Type =SUM(D4:D7), and then press enter. When you're done, you'll see &#10;the result of 170. &#10;Here's another way to add, using a shortcut key. Select the yellow cell under the amounts for meat. &#10;Press Alt = first. Then, press Enter. &#10;Now add only the numbers over 50. Select the last yellow cell. Type =SUMIF(D11:D15,&quot;&gt;50&quot;)&#10;and then press Enter. The result is 100. &#10;Dive down for more detail &#10;Next step ">
          <a:extLst>
            <a:ext uri="{FF2B5EF4-FFF2-40B4-BE49-F238E27FC236}">
              <a16:creationId xmlns:a16="http://schemas.microsoft.com/office/drawing/2014/main" id="{00000000-0008-0000-0100-00004E000000}"/>
            </a:ext>
          </a:extLst>
        </xdr:cNvPr>
        <xdr:cNvGrpSpPr/>
      </xdr:nvGrpSpPr>
      <xdr:grpSpPr>
        <a:xfrm>
          <a:off x="326572" y="266701"/>
          <a:ext cx="5766435" cy="4572000"/>
          <a:chOff x="326572" y="266702"/>
          <a:chExt cx="5705475" cy="4657728"/>
        </a:xfrm>
      </xdr:grpSpPr>
      <xdr:grpSp>
        <xdr:nvGrpSpPr>
          <xdr:cNvPr id="79" name="Add numbers instruction">
            <a:extLst>
              <a:ext uri="{FF2B5EF4-FFF2-40B4-BE49-F238E27FC236}">
                <a16:creationId xmlns:a16="http://schemas.microsoft.com/office/drawing/2014/main" id="{00000000-0008-0000-0100-00004F000000}"/>
              </a:ext>
            </a:extLst>
          </xdr:cNvPr>
          <xdr:cNvGrpSpPr/>
        </xdr:nvGrpSpPr>
        <xdr:grpSpPr>
          <a:xfrm>
            <a:off x="326572" y="266702"/>
            <a:ext cx="5705475" cy="4657728"/>
            <a:chOff x="0" y="0"/>
            <a:chExt cx="5695950" cy="4619625"/>
          </a:xfrm>
        </xdr:grpSpPr>
        <xdr:sp macro="" textlink="">
          <xdr:nvSpPr>
            <xdr:cNvPr id="99" name="Background" descr="Background">
              <a:extLst>
                <a:ext uri="{FF2B5EF4-FFF2-40B4-BE49-F238E27FC236}">
                  <a16:creationId xmlns:a16="http://schemas.microsoft.com/office/drawing/2014/main" id="{00000000-0008-0000-0100-000063000000}"/>
                </a:ext>
              </a:extLst>
            </xdr:cNvPr>
            <xdr:cNvSpPr/>
          </xdr:nvSpPr>
          <xdr:spPr>
            <a:xfrm>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00" name="Step" descr="Add numbers like a champ">
              <a:extLst>
                <a:ext uri="{FF2B5EF4-FFF2-40B4-BE49-F238E27FC236}">
                  <a16:creationId xmlns:a16="http://schemas.microsoft.com/office/drawing/2014/main" id="{00000000-0008-0000-0100-000064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Provide some connection details</a:t>
              </a:r>
            </a:p>
          </xdr:txBody>
        </xdr:sp>
        <xdr:cxnSp macro="">
          <xdr:nvCxnSpPr>
            <xdr:cNvPr id="102" name="Bottom line" descr="Decorative line">
              <a:extLst>
                <a:ext uri="{FF2B5EF4-FFF2-40B4-BE49-F238E27FC236}">
                  <a16:creationId xmlns:a16="http://schemas.microsoft.com/office/drawing/2014/main" id="{00000000-0008-0000-0100-000066000000}"/>
                </a:ext>
              </a:extLst>
            </xdr:cNvPr>
            <xdr:cNvCxnSpPr>
              <a:cxnSpLocks/>
            </xdr:cNvCxnSpPr>
          </xdr:nvCxnSpPr>
          <xdr:spPr>
            <a:xfrm>
              <a:off x="234924" y="35814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3" name="Next Button" descr="Next step button, hyperlinked to next sheet">
              <a:hlinkClick xmlns:r="http://schemas.openxmlformats.org/officeDocument/2006/relationships" r:id="rId6" tooltip="Select to go to the next step"/>
              <a:extLst>
                <a:ext uri="{FF2B5EF4-FFF2-40B4-BE49-F238E27FC236}">
                  <a16:creationId xmlns:a16="http://schemas.microsoft.com/office/drawing/2014/main" id="{00000000-0008-0000-0100-000067000000}"/>
                </a:ext>
              </a:extLst>
            </xdr:cNvPr>
            <xdr:cNvSpPr/>
          </xdr:nvSpPr>
          <xdr:spPr>
            <a:xfrm>
              <a:off x="4293870" y="38425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cxnSp macro="">
          <xdr:nvCxnSpPr>
            <xdr:cNvPr id="104" name="Top line" descr="Decorative line">
              <a:extLst>
                <a:ext uri="{FF2B5EF4-FFF2-40B4-BE49-F238E27FC236}">
                  <a16:creationId xmlns:a16="http://schemas.microsoft.com/office/drawing/2014/main" id="{00000000-0008-0000-0100-000068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grpSp>
        <xdr:nvGrpSpPr>
          <xdr:cNvPr id="80" name="Step5">
            <a:extLst>
              <a:ext uri="{FF2B5EF4-FFF2-40B4-BE49-F238E27FC236}">
                <a16:creationId xmlns:a16="http://schemas.microsoft.com/office/drawing/2014/main" id="{00000000-0008-0000-0100-000050000000}"/>
              </a:ext>
            </a:extLst>
          </xdr:cNvPr>
          <xdr:cNvGrpSpPr/>
        </xdr:nvGrpSpPr>
        <xdr:grpSpPr>
          <a:xfrm>
            <a:off x="558707" y="3254024"/>
            <a:ext cx="5225273" cy="608867"/>
            <a:chOff x="231749" y="2962883"/>
            <a:chExt cx="5216550" cy="603885"/>
          </a:xfrm>
        </xdr:grpSpPr>
        <xdr:sp macro="" textlink="">
          <xdr:nvSpPr>
            <xdr:cNvPr id="97" name="Step" descr="Now add only the numbers over 50. Select the last yellow cell. Type =SUMIF(D11:D15,&quot;&gt;50&quot;) and then press Enter. The result is 100">
              <a:extLst>
                <a:ext uri="{FF2B5EF4-FFF2-40B4-BE49-F238E27FC236}">
                  <a16:creationId xmlns:a16="http://schemas.microsoft.com/office/drawing/2014/main" id="{00000000-0008-0000-0100-000061000000}"/>
                </a:ext>
              </a:extLst>
            </xdr:cNvPr>
            <xdr:cNvSpPr txBox="1"/>
          </xdr:nvSpPr>
          <xdr:spPr>
            <a:xfrm>
              <a:off x="638783" y="3005381"/>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Author:</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Deon Pollard SENYA LTD (c) 2018</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98" name="5" descr="5">
              <a:extLst>
                <a:ext uri="{FF2B5EF4-FFF2-40B4-BE49-F238E27FC236}">
                  <a16:creationId xmlns:a16="http://schemas.microsoft.com/office/drawing/2014/main" id="{00000000-0008-0000-0100-000062000000}"/>
                </a:ext>
              </a:extLst>
            </xdr:cNvPr>
            <xdr:cNvSpPr/>
          </xdr:nvSpPr>
          <xdr:spPr>
            <a:xfrm>
              <a:off x="231749" y="296288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a:t>
              </a:r>
            </a:p>
          </xdr:txBody>
        </xdr:sp>
      </xdr:grpSp>
      <xdr:grpSp>
        <xdr:nvGrpSpPr>
          <xdr:cNvPr id="82" name="Step3">
            <a:extLst>
              <a:ext uri="{FF2B5EF4-FFF2-40B4-BE49-F238E27FC236}">
                <a16:creationId xmlns:a16="http://schemas.microsoft.com/office/drawing/2014/main" id="{00000000-0008-0000-0100-000052000000}"/>
              </a:ext>
            </a:extLst>
          </xdr:cNvPr>
          <xdr:cNvGrpSpPr/>
        </xdr:nvGrpSpPr>
        <xdr:grpSpPr>
          <a:xfrm>
            <a:off x="558707" y="2277525"/>
            <a:ext cx="5225273" cy="608867"/>
            <a:chOff x="231749" y="1994372"/>
            <a:chExt cx="5216550" cy="603885"/>
          </a:xfrm>
        </xdr:grpSpPr>
        <xdr:sp macro="" textlink="">
          <xdr:nvSpPr>
            <xdr:cNvPr id="90" name="Step" descr="Here's another way to add, using a shortcut key. Select the yellow cell under the amounts for meat">
              <a:extLst>
                <a:ext uri="{FF2B5EF4-FFF2-40B4-BE49-F238E27FC236}">
                  <a16:creationId xmlns:a16="http://schemas.microsoft.com/office/drawing/2014/main" id="{00000000-0008-0000-0100-00005A000000}"/>
                </a:ext>
              </a:extLst>
            </xdr:cNvPr>
            <xdr:cNvSpPr txBox="1"/>
          </xdr:nvSpPr>
          <xdr:spPr>
            <a:xfrm>
              <a:off x="638783" y="2036870"/>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PASSWORD</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This is your password for the Username. </a:t>
              </a:r>
            </a:p>
          </xdr:txBody>
        </xdr:sp>
        <xdr:sp macro="" textlink="">
          <xdr:nvSpPr>
            <xdr:cNvPr id="91" name="3" descr="3">
              <a:extLst>
                <a:ext uri="{FF2B5EF4-FFF2-40B4-BE49-F238E27FC236}">
                  <a16:creationId xmlns:a16="http://schemas.microsoft.com/office/drawing/2014/main" id="{00000000-0008-0000-0100-00005B000000}"/>
                </a:ext>
              </a:extLst>
            </xdr:cNvPr>
            <xdr:cNvSpPr/>
          </xdr:nvSpPr>
          <xdr:spPr>
            <a:xfrm>
              <a:off x="231749" y="199437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c</a:t>
              </a:r>
            </a:p>
          </xdr:txBody>
        </xdr:sp>
      </xdr:grpSp>
      <xdr:grpSp>
        <xdr:nvGrpSpPr>
          <xdr:cNvPr id="83" name="Step2">
            <a:extLst>
              <a:ext uri="{FF2B5EF4-FFF2-40B4-BE49-F238E27FC236}">
                <a16:creationId xmlns:a16="http://schemas.microsoft.com/office/drawing/2014/main" id="{00000000-0008-0000-0100-000053000000}"/>
              </a:ext>
            </a:extLst>
          </xdr:cNvPr>
          <xdr:cNvGrpSpPr/>
        </xdr:nvGrpSpPr>
        <xdr:grpSpPr>
          <a:xfrm>
            <a:off x="558707" y="1769250"/>
            <a:ext cx="5225273" cy="608867"/>
            <a:chOff x="231749" y="1490256"/>
            <a:chExt cx="5216550" cy="603885"/>
          </a:xfrm>
        </xdr:grpSpPr>
        <xdr:sp macro="" textlink="">
          <xdr:nvSpPr>
            <xdr:cNvPr id="88" name="Step" descr="Type =SUM(D4:D7), and then press enter. When you're done, you'll see the result of 170">
              <a:extLst>
                <a:ext uri="{FF2B5EF4-FFF2-40B4-BE49-F238E27FC236}">
                  <a16:creationId xmlns:a16="http://schemas.microsoft.com/office/drawing/2014/main" id="{00000000-0008-0000-0100-000058000000}"/>
                </a:ext>
              </a:extLst>
            </xdr:cNvPr>
            <xdr:cNvSpPr txBox="1"/>
          </xdr:nvSpPr>
          <xdr:spPr>
            <a:xfrm>
              <a:off x="638782" y="1532754"/>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USERNAME</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This is the name you are signing into the catalog.</a:t>
              </a:r>
            </a:p>
          </xdr:txBody>
        </xdr:sp>
        <xdr:sp macro="" textlink="">
          <xdr:nvSpPr>
            <xdr:cNvPr id="89" name="2" descr="2">
              <a:extLst>
                <a:ext uri="{FF2B5EF4-FFF2-40B4-BE49-F238E27FC236}">
                  <a16:creationId xmlns:a16="http://schemas.microsoft.com/office/drawing/2014/main" id="{00000000-0008-0000-0100-000059000000}"/>
                </a:ext>
              </a:extLst>
            </xdr:cNvPr>
            <xdr:cNvSpPr/>
          </xdr:nvSpPr>
          <xdr:spPr>
            <a:xfrm>
              <a:off x="231749" y="14902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b</a:t>
              </a:r>
            </a:p>
          </xdr:txBody>
        </xdr:sp>
      </xdr:grpSp>
      <xdr:grpSp>
        <xdr:nvGrpSpPr>
          <xdr:cNvPr id="84" name="Step1">
            <a:extLst>
              <a:ext uri="{FF2B5EF4-FFF2-40B4-BE49-F238E27FC236}">
                <a16:creationId xmlns:a16="http://schemas.microsoft.com/office/drawing/2014/main" id="{00000000-0008-0000-0100-000054000000}"/>
              </a:ext>
            </a:extLst>
          </xdr:cNvPr>
          <xdr:cNvGrpSpPr/>
        </xdr:nvGrpSpPr>
        <xdr:grpSpPr>
          <a:xfrm>
            <a:off x="558707" y="1278313"/>
            <a:ext cx="5225273" cy="608867"/>
            <a:chOff x="231749" y="1003336"/>
            <a:chExt cx="5216550" cy="603885"/>
          </a:xfrm>
        </xdr:grpSpPr>
        <xdr:sp macro="" textlink="">
          <xdr:nvSpPr>
            <xdr:cNvPr id="86" name="Step" descr="Select the yellow cell under the amounts for fruit">
              <a:extLst>
                <a:ext uri="{FF2B5EF4-FFF2-40B4-BE49-F238E27FC236}">
                  <a16:creationId xmlns:a16="http://schemas.microsoft.com/office/drawing/2014/main" id="{00000000-0008-0000-0100-000056000000}"/>
                </a:ext>
              </a:extLst>
            </xdr:cNvPr>
            <xdr:cNvSpPr txBox="1"/>
          </xdr:nvSpPr>
          <xdr:spPr>
            <a:xfrm>
              <a:off x="638783"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HOSTNAME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Typically, it would be something like https://MyIGC:8443</a:t>
              </a:r>
            </a:p>
          </xdr:txBody>
        </xdr:sp>
        <xdr:sp macro="" textlink="">
          <xdr:nvSpPr>
            <xdr:cNvPr id="87" name="1" descr="1">
              <a:extLst>
                <a:ext uri="{FF2B5EF4-FFF2-40B4-BE49-F238E27FC236}">
                  <a16:creationId xmlns:a16="http://schemas.microsoft.com/office/drawing/2014/main" id="{00000000-0008-0000-0100-000057000000}"/>
                </a:ext>
              </a:extLst>
            </xdr:cNvPr>
            <xdr:cNvSpPr/>
          </xdr:nvSpPr>
          <xdr:spPr>
            <a:xfrm>
              <a:off x="23174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a</a:t>
              </a:r>
            </a:p>
          </xdr:txBody>
        </xdr:sp>
      </xdr:grpSp>
      <xdr:sp macro="" textlink="">
        <xdr:nvSpPr>
          <xdr:cNvPr id="85" name="Add numbers introduction" descr="Here are some ways to add up numbers in Excel:">
            <a:extLst>
              <a:ext uri="{FF2B5EF4-FFF2-40B4-BE49-F238E27FC236}">
                <a16:creationId xmlns:a16="http://schemas.microsoft.com/office/drawing/2014/main" id="{00000000-0008-0000-0100-000055000000}"/>
              </a:ext>
            </a:extLst>
          </xdr:cNvPr>
          <xdr:cNvSpPr txBox="1"/>
        </xdr:nvSpPr>
        <xdr:spPr>
          <a:xfrm>
            <a:off x="555554" y="972193"/>
            <a:ext cx="5309802" cy="254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You only need to do this once:</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298674</xdr:colOff>
      <xdr:row>0</xdr:row>
      <xdr:rowOff>253094</xdr:rowOff>
    </xdr:from>
    <xdr:to>
      <xdr:col>1</xdr:col>
      <xdr:colOff>5146899</xdr:colOff>
      <xdr:row>22</xdr:row>
      <xdr:rowOff>108213</xdr:rowOff>
    </xdr:to>
    <xdr:grpSp>
      <xdr:nvGrpSpPr>
        <xdr:cNvPr id="2" name="Save time by filling cells automatically" descr="Save time by filling cells automatically&#10;Here’s how to use the fill handle in Excel:&#10;Click the cell with the number 100.&#10;Rest your cursor on the lower-right corner of the cell until &#10;it becomes a cross:&#10;Click the cross and drag down three cells. Excel will automatically fill the cells with the totals: 110, 120, and 130. People call this “filling down.”&#10;Select the yellow cell with 200, and fill again but this time drag the fill handle to the right to fill the cells. This is known as “filling right.&quot;&#10;Dive down for more detail &#10;Next step">
          <a:extLst>
            <a:ext uri="{FF2B5EF4-FFF2-40B4-BE49-F238E27FC236}">
              <a16:creationId xmlns:a16="http://schemas.microsoft.com/office/drawing/2014/main" id="{00000000-0008-0000-0200-000002000000}"/>
            </a:ext>
          </a:extLst>
        </xdr:cNvPr>
        <xdr:cNvGrpSpPr/>
      </xdr:nvGrpSpPr>
      <xdr:grpSpPr>
        <a:xfrm>
          <a:off x="298674" y="253094"/>
          <a:ext cx="5766435" cy="4617619"/>
          <a:chOff x="11496675" y="857250"/>
          <a:chExt cx="5695950" cy="4619625"/>
        </a:xfrm>
      </xdr:grpSpPr>
      <xdr:sp macro="" textlink="">
        <xdr:nvSpPr>
          <xdr:cNvPr id="3" name="Rectangle 2" descr="Background">
            <a:extLst>
              <a:ext uri="{FF2B5EF4-FFF2-40B4-BE49-F238E27FC236}">
                <a16:creationId xmlns:a16="http://schemas.microsoft.com/office/drawing/2014/main" id="{00000000-0008-0000-0200-000003000000}"/>
              </a:ext>
            </a:extLst>
          </xdr:cNvPr>
          <xdr:cNvSpPr/>
        </xdr:nvSpPr>
        <xdr:spPr>
          <a:xfrm>
            <a:off x="11496675" y="85725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4" name="Step" descr="Save time by filling cells automatically">
            <a:extLst>
              <a:ext uri="{FF2B5EF4-FFF2-40B4-BE49-F238E27FC236}">
                <a16:creationId xmlns:a16="http://schemas.microsoft.com/office/drawing/2014/main" id="{00000000-0008-0000-0200-000004000000}"/>
              </a:ext>
            </a:extLst>
          </xdr:cNvPr>
          <xdr:cNvSpPr txBox="1"/>
        </xdr:nvSpPr>
        <xdr:spPr>
          <a:xfrm>
            <a:off x="11728423" y="9854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Customise your IGC Balance sheet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5" name="Straight Connector 4" descr="Decorative line">
            <a:extLst>
              <a:ext uri="{FF2B5EF4-FFF2-40B4-BE49-F238E27FC236}">
                <a16:creationId xmlns:a16="http://schemas.microsoft.com/office/drawing/2014/main" id="{00000000-0008-0000-0200-000005000000}"/>
              </a:ext>
            </a:extLst>
          </xdr:cNvPr>
          <xdr:cNvCxnSpPr>
            <a:cxnSpLocks/>
          </xdr:cNvCxnSpPr>
        </xdr:nvCxnSpPr>
        <xdr:spPr>
          <a:xfrm>
            <a:off x="11731599" y="14928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 name="Straight Connector 6" descr="Decorative line">
            <a:extLst>
              <a:ext uri="{FF2B5EF4-FFF2-40B4-BE49-F238E27FC236}">
                <a16:creationId xmlns:a16="http://schemas.microsoft.com/office/drawing/2014/main" id="{00000000-0008-0000-0200-000007000000}"/>
              </a:ext>
            </a:extLst>
          </xdr:cNvPr>
          <xdr:cNvCxnSpPr>
            <a:cxnSpLocks/>
          </xdr:cNvCxnSpPr>
        </xdr:nvCxnSpPr>
        <xdr:spPr>
          <a:xfrm>
            <a:off x="11731599" y="44481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200-000008000000}"/>
              </a:ext>
            </a:extLst>
          </xdr:cNvPr>
          <xdr:cNvSpPr/>
        </xdr:nvSpPr>
        <xdr:spPr>
          <a:xfrm>
            <a:off x="15790545" y="4709282"/>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9" name="Step" descr="Here’s how to use the fill handle in Excel:">
            <a:extLst>
              <a:ext uri="{FF2B5EF4-FFF2-40B4-BE49-F238E27FC236}">
                <a16:creationId xmlns:a16="http://schemas.microsoft.com/office/drawing/2014/main" id="{00000000-0008-0000-0200-000009000000}"/>
              </a:ext>
            </a:extLst>
          </xdr:cNvPr>
          <xdr:cNvSpPr txBox="1"/>
        </xdr:nvSpPr>
        <xdr:spPr>
          <a:xfrm>
            <a:off x="11725275" y="1566496"/>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Optionally you can customise the BalanceSheet, here is how:</a:t>
            </a:r>
          </a:p>
        </xdr:txBody>
      </xdr:sp>
      <xdr:sp macro="" textlink="">
        <xdr:nvSpPr>
          <xdr:cNvPr id="10" name="Step" descr="Click the cell with the number 100">
            <a:extLst>
              <a:ext uri="{FF2B5EF4-FFF2-40B4-BE49-F238E27FC236}">
                <a16:creationId xmlns:a16="http://schemas.microsoft.com/office/drawing/2014/main" id="{00000000-0008-0000-0200-00000A000000}"/>
              </a:ext>
            </a:extLst>
          </xdr:cNvPr>
          <xdr:cNvSpPr txBox="1"/>
        </xdr:nvSpPr>
        <xdr:spPr>
          <a:xfrm>
            <a:off x="12135458" y="1912609"/>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AssetID Column</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You can optionally type in any valid assetType you have registered within IGC. </a:t>
            </a:r>
          </a:p>
        </xdr:txBody>
      </xdr:sp>
      <xdr:sp macro="" textlink="">
        <xdr:nvSpPr>
          <xdr:cNvPr id="11" name="Oval 10" descr="1">
            <a:extLst>
              <a:ext uri="{FF2B5EF4-FFF2-40B4-BE49-F238E27FC236}">
                <a16:creationId xmlns:a16="http://schemas.microsoft.com/office/drawing/2014/main" id="{00000000-0008-0000-0200-00000B000000}"/>
              </a:ext>
            </a:extLst>
          </xdr:cNvPr>
          <xdr:cNvSpPr/>
        </xdr:nvSpPr>
        <xdr:spPr>
          <a:xfrm>
            <a:off x="11728424" y="187011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a</a:t>
            </a:r>
          </a:p>
        </xdr:txBody>
      </xdr:sp>
      <xdr:sp macro="" textlink="">
        <xdr:nvSpPr>
          <xdr:cNvPr id="12" name="Step" descr="Rest your cursor on the lower-right corner of the cell until &#10;it becomes a cross:">
            <a:extLst>
              <a:ext uri="{FF2B5EF4-FFF2-40B4-BE49-F238E27FC236}">
                <a16:creationId xmlns:a16="http://schemas.microsoft.com/office/drawing/2014/main" id="{00000000-0008-0000-0200-00000C000000}"/>
              </a:ext>
            </a:extLst>
          </xdr:cNvPr>
          <xdr:cNvSpPr txBox="1"/>
        </xdr:nvSpPr>
        <xdr:spPr>
          <a:xfrm>
            <a:off x="12135457" y="2399529"/>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The last 3</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item rows of the BalanceSheet allows you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drop down selection </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of typical AssetTypes.  Select if you want to include, otherwise leave blank.</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3" name="Oval 12" descr="2">
            <a:extLst>
              <a:ext uri="{FF2B5EF4-FFF2-40B4-BE49-F238E27FC236}">
                <a16:creationId xmlns:a16="http://schemas.microsoft.com/office/drawing/2014/main" id="{00000000-0008-0000-0200-00000D000000}"/>
              </a:ext>
            </a:extLst>
          </xdr:cNvPr>
          <xdr:cNvSpPr/>
        </xdr:nvSpPr>
        <xdr:spPr>
          <a:xfrm>
            <a:off x="11728424" y="235703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b</a:t>
            </a:r>
          </a:p>
        </xdr:txBody>
      </xdr:sp>
      <xdr:sp macro="" textlink="">
        <xdr:nvSpPr>
          <xdr:cNvPr id="16" name="Step" descr="Select the yellow cell with 200, and fill again but this time drag the fill handle to the right to fill the cells. This is known as “filling right”">
            <a:extLst>
              <a:ext uri="{FF2B5EF4-FFF2-40B4-BE49-F238E27FC236}">
                <a16:creationId xmlns:a16="http://schemas.microsoft.com/office/drawing/2014/main" id="{00000000-0008-0000-0200-000010000000}"/>
              </a:ext>
            </a:extLst>
          </xdr:cNvPr>
          <xdr:cNvSpPr txBox="1"/>
        </xdr:nvSpPr>
        <xdr:spPr>
          <a:xfrm>
            <a:off x="12135458" y="3539251"/>
            <a:ext cx="4809516" cy="720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the REFRESH button</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fill the CURRENT column with calculated values for each item in the Balancesheet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from your IGC catalog.  This is done via</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REST API calls to IGC.</a:t>
            </a:r>
            <a:endPar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7" name="Oval 16" descr="4">
            <a:extLst>
              <a:ext uri="{FF2B5EF4-FFF2-40B4-BE49-F238E27FC236}">
                <a16:creationId xmlns:a16="http://schemas.microsoft.com/office/drawing/2014/main" id="{00000000-0008-0000-0200-000011000000}"/>
              </a:ext>
            </a:extLst>
          </xdr:cNvPr>
          <xdr:cNvSpPr/>
        </xdr:nvSpPr>
        <xdr:spPr>
          <a:xfrm>
            <a:off x="11728424" y="349675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c</a:t>
            </a:r>
          </a:p>
        </xdr:txBody>
      </xdr:sp>
    </xdr:grpSp>
    <xdr:clientData/>
  </xdr:twoCellAnchor>
  <xdr:twoCellAnchor editAs="oneCell">
    <xdr:from>
      <xdr:col>4</xdr:col>
      <xdr:colOff>608086</xdr:colOff>
      <xdr:row>2</xdr:row>
      <xdr:rowOff>54746</xdr:rowOff>
    </xdr:from>
    <xdr:to>
      <xdr:col>4</xdr:col>
      <xdr:colOff>916876</xdr:colOff>
      <xdr:row>6</xdr:row>
      <xdr:rowOff>73177</xdr:rowOff>
    </xdr:to>
    <xdr:grpSp>
      <xdr:nvGrpSpPr>
        <xdr:cNvPr id="19" name="Group 18" descr="Bracket line">
          <a:extLst>
            <a:ext uri="{FF2B5EF4-FFF2-40B4-BE49-F238E27FC236}">
              <a16:creationId xmlns:a16="http://schemas.microsoft.com/office/drawing/2014/main" id="{00000000-0008-0000-0200-000013000000}"/>
            </a:ext>
          </a:extLst>
        </xdr:cNvPr>
        <xdr:cNvGrpSpPr/>
      </xdr:nvGrpSpPr>
      <xdr:grpSpPr>
        <a:xfrm rot="599914">
          <a:off x="8803396" y="1007246"/>
          <a:ext cx="308790" cy="780431"/>
          <a:chOff x="9871108" y="1184220"/>
          <a:chExt cx="273326" cy="789155"/>
        </a:xfrm>
      </xdr:grpSpPr>
      <xdr:sp macro="" textlink="">
        <xdr:nvSpPr>
          <xdr:cNvPr id="22" name="Freeform: Shape 21" descr="Bracket line">
            <a:extLst>
              <a:ext uri="{FF2B5EF4-FFF2-40B4-BE49-F238E27FC236}">
                <a16:creationId xmlns:a16="http://schemas.microsoft.com/office/drawing/2014/main" id="{00000000-0008-0000-0200-000016000000}"/>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23" name="Freeform: Shape 22" descr="Bracket line">
            <a:extLst>
              <a:ext uri="{FF2B5EF4-FFF2-40B4-BE49-F238E27FC236}">
                <a16:creationId xmlns:a16="http://schemas.microsoft.com/office/drawing/2014/main" id="{00000000-0008-0000-0200-000017000000}"/>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editAs="oneCell">
    <xdr:from>
      <xdr:col>4</xdr:col>
      <xdr:colOff>1640206</xdr:colOff>
      <xdr:row>0</xdr:row>
      <xdr:rowOff>7302</xdr:rowOff>
    </xdr:from>
    <xdr:to>
      <xdr:col>7</xdr:col>
      <xdr:colOff>409810</xdr:colOff>
      <xdr:row>4</xdr:row>
      <xdr:rowOff>38071</xdr:rowOff>
    </xdr:to>
    <xdr:grpSp>
      <xdr:nvGrpSpPr>
        <xdr:cNvPr id="34" name="Group 33"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200-000022000000}"/>
            </a:ext>
          </a:extLst>
        </xdr:cNvPr>
        <xdr:cNvGrpSpPr/>
      </xdr:nvGrpSpPr>
      <xdr:grpSpPr>
        <a:xfrm rot="10800000">
          <a:off x="9835516" y="7302"/>
          <a:ext cx="2251944" cy="1364269"/>
          <a:chOff x="8113287" y="9845654"/>
          <a:chExt cx="2074887" cy="1364269"/>
        </a:xfrm>
      </xdr:grpSpPr>
      <xdr:sp macro="" textlink="">
        <xdr:nvSpPr>
          <xdr:cNvPr id="35" name="Freeform: Shape 34" descr="Arrow">
            <a:extLst>
              <a:ext uri="{FF2B5EF4-FFF2-40B4-BE49-F238E27FC236}">
                <a16:creationId xmlns:a16="http://schemas.microsoft.com/office/drawing/2014/main" id="{00000000-0008-0000-0200-000023000000}"/>
              </a:ext>
            </a:extLst>
          </xdr:cNvPr>
          <xdr:cNvSpPr/>
        </xdr:nvSpPr>
        <xdr:spPr>
          <a:xfrm>
            <a:off x="8496466" y="9845654"/>
            <a:ext cx="804429" cy="87837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7" name="Graphic 147" descr="Glasses">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rot="10800000">
            <a:off x="8113287" y="10563027"/>
            <a:ext cx="323835" cy="364733"/>
          </a:xfrm>
          <a:prstGeom prst="rect">
            <a:avLst/>
          </a:prstGeom>
        </xdr:spPr>
      </xdr:pic>
      <xdr:pic>
        <xdr:nvPicPr>
          <xdr:cNvPr id="38" name="Picture 37" descr="AutoFill Options">
            <a:extLst>
              <a:ext uri="{FF2B5EF4-FFF2-40B4-BE49-F238E27FC236}">
                <a16:creationId xmlns:a16="http://schemas.microsoft.com/office/drawing/2014/main" id="{00000000-0008-0000-0200-000026000000}"/>
              </a:ext>
            </a:extLst>
          </xdr:cNvPr>
          <xdr:cNvPicPr>
            <a:picLocks noChangeAspect="1"/>
          </xdr:cNvPicPr>
        </xdr:nvPicPr>
        <xdr:blipFill rotWithShape="1">
          <a:blip xmlns:r="http://schemas.openxmlformats.org/officeDocument/2006/relationships" r:embed="rId4"/>
          <a:srcRect l="15611" t="14187" r="4668" b="11100"/>
          <a:stretch/>
        </xdr:blipFill>
        <xdr:spPr>
          <a:xfrm>
            <a:off x="9998667" y="11017937"/>
            <a:ext cx="189507" cy="191986"/>
          </a:xfrm>
          <a:prstGeom prst="rect">
            <a:avLst/>
          </a:prstGeom>
        </xdr:spPr>
      </xdr:pic>
    </xdr:grpSp>
    <xdr:clientData/>
  </xdr:twoCellAnchor>
  <xdr:twoCellAnchor editAs="oneCell">
    <xdr:from>
      <xdr:col>0</xdr:col>
      <xdr:colOff>334905</xdr:colOff>
      <xdr:row>76</xdr:row>
      <xdr:rowOff>175160</xdr:rowOff>
    </xdr:from>
    <xdr:to>
      <xdr:col>1</xdr:col>
      <xdr:colOff>5183130</xdr:colOff>
      <xdr:row>91</xdr:row>
      <xdr:rowOff>124360</xdr:rowOff>
    </xdr:to>
    <xdr:grpSp>
      <xdr:nvGrpSpPr>
        <xdr:cNvPr id="53" name="More On Web" descr="More information on the web, contains links to the web&#10;Back to top&#10;Next step">
          <a:extLst>
            <a:ext uri="{FF2B5EF4-FFF2-40B4-BE49-F238E27FC236}">
              <a16:creationId xmlns:a16="http://schemas.microsoft.com/office/drawing/2014/main" id="{00000000-0008-0000-0200-000035000000}"/>
            </a:ext>
          </a:extLst>
        </xdr:cNvPr>
        <xdr:cNvGrpSpPr/>
      </xdr:nvGrpSpPr>
      <xdr:grpSpPr>
        <a:xfrm>
          <a:off x="334905" y="15224660"/>
          <a:ext cx="5766435" cy="2806700"/>
          <a:chOff x="-63978" y="7621"/>
          <a:chExt cx="5695950" cy="2806700"/>
        </a:xfrm>
      </xdr:grpSpPr>
      <xdr:sp macro="" textlink="">
        <xdr:nvSpPr>
          <xdr:cNvPr id="54" name="Rectangle 53" descr="Background">
            <a:extLst>
              <a:ext uri="{FF2B5EF4-FFF2-40B4-BE49-F238E27FC236}">
                <a16:creationId xmlns:a16="http://schemas.microsoft.com/office/drawing/2014/main" id="{00000000-0008-0000-0200-000036000000}"/>
              </a:ext>
            </a:extLst>
          </xdr:cNvPr>
          <xdr:cNvSpPr/>
        </xdr:nvSpPr>
        <xdr:spPr>
          <a:xfrm>
            <a:off x="-63978" y="7621"/>
            <a:ext cx="5695950" cy="2806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55" name="Step" descr="More information on the web">
            <a:extLst>
              <a:ext uri="{FF2B5EF4-FFF2-40B4-BE49-F238E27FC236}">
                <a16:creationId xmlns:a16="http://schemas.microsoft.com/office/drawing/2014/main" id="{00000000-0008-0000-0200-000037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56" name="Straight Connector 55" descr="Decorative line">
            <a:extLst>
              <a:ext uri="{FF2B5EF4-FFF2-40B4-BE49-F238E27FC236}">
                <a16:creationId xmlns:a16="http://schemas.microsoft.com/office/drawing/2014/main" id="{00000000-0008-0000-0200-000038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7" name="Next Button" descr="Back to top, hyperlinked to cell A1">
            <a:hlinkClick xmlns:r="http://schemas.openxmlformats.org/officeDocument/2006/relationships" r:id="rId5" tooltip="Select to go back to cell A1 in this worksheet"/>
            <a:extLst>
              <a:ext uri="{FF2B5EF4-FFF2-40B4-BE49-F238E27FC236}">
                <a16:creationId xmlns:a16="http://schemas.microsoft.com/office/drawing/2014/main" id="{00000000-0008-0000-0200-000039000000}"/>
              </a:ext>
            </a:extLst>
          </xdr:cNvPr>
          <xdr:cNvSpPr/>
        </xdr:nvSpPr>
        <xdr:spPr>
          <a:xfrm>
            <a:off x="234924" y="2030413"/>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58" name="Straight Connector 57" descr="Decorative line">
            <a:extLst>
              <a:ext uri="{FF2B5EF4-FFF2-40B4-BE49-F238E27FC236}">
                <a16:creationId xmlns:a16="http://schemas.microsoft.com/office/drawing/2014/main" id="{00000000-0008-0000-0200-00003A000000}"/>
              </a:ext>
            </a:extLst>
          </xdr:cNvPr>
          <xdr:cNvCxnSpPr>
            <a:cxnSpLocks/>
          </xdr:cNvCxnSpPr>
        </xdr:nvCxnSpPr>
        <xdr:spPr>
          <a:xfrm>
            <a:off x="234924" y="17907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9"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200-00003B000000}"/>
              </a:ext>
            </a:extLst>
          </xdr:cNvPr>
          <xdr:cNvSpPr/>
        </xdr:nvSpPr>
        <xdr:spPr>
          <a:xfrm>
            <a:off x="4293870" y="2220914"/>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60" name="Step" descr="Fill data automatically in worksheet cells, Hyperlinked to web">
            <a:hlinkClick xmlns:r="http://schemas.openxmlformats.org/officeDocument/2006/relationships" r:id="rId6" tooltip="Select to learn about filling data automatically in worksheet cells from the web"/>
            <a:extLst>
              <a:ext uri="{FF2B5EF4-FFF2-40B4-BE49-F238E27FC236}">
                <a16:creationId xmlns:a16="http://schemas.microsoft.com/office/drawing/2014/main" id="{00000000-0008-0000-0200-00003C000000}"/>
              </a:ext>
            </a:extLst>
          </xdr:cNvPr>
          <xdr:cNvSpPr txBox="1"/>
        </xdr:nvSpPr>
        <xdr:spPr>
          <a:xfrm>
            <a:off x="638783" y="794849"/>
            <a:ext cx="275211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SENYA</a:t>
            </a:r>
          </a:p>
        </xdr:txBody>
      </xdr:sp>
      <xdr:pic>
        <xdr:nvPicPr>
          <xdr:cNvPr id="61"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200-00003D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503" y="699572"/>
            <a:ext cx="454554" cy="448472"/>
          </a:xfrm>
          <a:prstGeom prst="rect">
            <a:avLst/>
          </a:prstGeom>
        </xdr:spPr>
      </xdr:pic>
      <xdr:sp macro="" textlink="">
        <xdr:nvSpPr>
          <xdr:cNvPr id="62" name="Step" descr="Fill a formula down into adjacent cells, Hyperlinked to web">
            <a:hlinkClick xmlns:r="http://schemas.openxmlformats.org/officeDocument/2006/relationships" r:id="rId10" tooltip="Select to learn about filling a formula down into adjacent cells from the web"/>
            <a:extLst>
              <a:ext uri="{FF2B5EF4-FFF2-40B4-BE49-F238E27FC236}">
                <a16:creationId xmlns:a16="http://schemas.microsoft.com/office/drawing/2014/main" id="{00000000-0008-0000-0200-00003E000000}"/>
              </a:ext>
            </a:extLst>
          </xdr:cNvPr>
          <xdr:cNvSpPr txBox="1"/>
        </xdr:nvSpPr>
        <xdr:spPr>
          <a:xfrm>
            <a:off x="638783" y="1259456"/>
            <a:ext cx="275211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Deon Pollard</a:t>
            </a:r>
          </a:p>
          <a:p>
            <a:pPr lvl="0">
              <a:defRPr/>
            </a:pPr>
            <a:b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63" name="Graphic 22" descr="Arrow">
            <a:hlinkClick xmlns:r="http://schemas.openxmlformats.org/officeDocument/2006/relationships" r:id="rId11" tooltip="Select to learn more from the web"/>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503" y="1157426"/>
            <a:ext cx="454554" cy="448472"/>
          </a:xfrm>
          <a:prstGeom prst="rect">
            <a:avLst/>
          </a:prstGeom>
        </xdr:spPr>
      </xdr:pic>
    </xdr:grpSp>
    <xdr:clientData/>
  </xdr:twoCellAnchor>
  <xdr:twoCellAnchor editAs="oneCell">
    <xdr:from>
      <xdr:col>2</xdr:col>
      <xdr:colOff>336551</xdr:colOff>
      <xdr:row>5</xdr:row>
      <xdr:rowOff>26409</xdr:rowOff>
    </xdr:from>
    <xdr:to>
      <xdr:col>5</xdr:col>
      <xdr:colOff>476251</xdr:colOff>
      <xdr:row>11</xdr:row>
      <xdr:rowOff>111707</xdr:rowOff>
    </xdr:to>
    <xdr:grpSp>
      <xdr:nvGrpSpPr>
        <xdr:cNvPr id="65" name="EXPERIMENT" descr="Select these two cells, and then drag the fill handle to the right. Excel fills the series in increments of 15. Try changing 15 and 30 to other values, like 1 and 1.8. Or, Mon and Wed. Or, January and March. And then fill to the right again... see what happens!">
          <a:extLst>
            <a:ext uri="{FF2B5EF4-FFF2-40B4-BE49-F238E27FC236}">
              <a16:creationId xmlns:a16="http://schemas.microsoft.com/office/drawing/2014/main" id="{00000000-0008-0000-0200-000041000000}"/>
            </a:ext>
          </a:extLst>
        </xdr:cNvPr>
        <xdr:cNvGrpSpPr/>
      </xdr:nvGrpSpPr>
      <xdr:grpSpPr>
        <a:xfrm>
          <a:off x="7251701" y="1550409"/>
          <a:ext cx="3622040" cy="1228298"/>
          <a:chOff x="6375400" y="12711804"/>
          <a:chExt cx="3357302" cy="1228298"/>
        </a:xfrm>
      </xdr:grpSpPr>
      <xdr:sp macro="" textlink="">
        <xdr:nvSpPr>
          <xdr:cNvPr id="66" name="Step" descr="EXPERIMENT&#10;Select these two cells, and then drag the fill handle to the right. Excel fills the series in increments of 15. Try changing 15 and 30 to other values, like 1 and 1.8. Or, Mon and Wed. Or, January and March. And then fill to the right again... see what happens!">
            <a:extLst>
              <a:ext uri="{FF2B5EF4-FFF2-40B4-BE49-F238E27FC236}">
                <a16:creationId xmlns:a16="http://schemas.microsoft.com/office/drawing/2014/main" id="{00000000-0008-0000-0200-000042000000}"/>
              </a:ext>
            </a:extLst>
          </xdr:cNvPr>
          <xdr:cNvSpPr txBox="1"/>
        </xdr:nvSpPr>
        <xdr:spPr>
          <a:xfrm>
            <a:off x="6593484" y="12992000"/>
            <a:ext cx="3139218"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Asset ID</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latin typeface="+mn-lt"/>
                <a:ea typeface="Segoe UI" pitchFamily="34" charset="0"/>
                <a:cs typeface="Segoe UI Light" panose="020B0502040204020203" pitchFamily="34" charset="0"/>
              </a:rPr>
              <a:t>Select any cell in AssetID column you</a:t>
            </a:r>
            <a:r>
              <a:rPr lang="en-US" sz="1100" kern="0" baseline="0">
                <a:solidFill>
                  <a:schemeClr val="bg2">
                    <a:lumMod val="25000"/>
                  </a:schemeClr>
                </a:solidFill>
                <a:latin typeface="+mn-lt"/>
                <a:ea typeface="Segoe UI" pitchFamily="34" charset="0"/>
                <a:cs typeface="Segoe UI Light" panose="020B0502040204020203" pitchFamily="34" charset="0"/>
              </a:rPr>
              <a:t> want to customise.  Replace with a valid Asset Type that is registered in your Catalog. For completeness enter a short accompaning description in the AssetType column.</a:t>
            </a:r>
            <a:endParaRPr lang="en-US" sz="1100" kern="0">
              <a:solidFill>
                <a:schemeClr val="bg2">
                  <a:lumMod val="25000"/>
                </a:schemeClr>
              </a:solidFill>
              <a:latin typeface="+mn-lt"/>
              <a:ea typeface="Segoe UI" pitchFamily="34" charset="0"/>
              <a:cs typeface="Segoe UI Light" panose="020B0502040204020203" pitchFamily="34" charset="0"/>
            </a:endParaRPr>
          </a:p>
        </xdr:txBody>
      </xdr:sp>
      <xdr:sp macro="" textlink="">
        <xdr:nvSpPr>
          <xdr:cNvPr id="67" name="Freeform: Shape 66" descr="Bracket line">
            <a:extLst>
              <a:ext uri="{FF2B5EF4-FFF2-40B4-BE49-F238E27FC236}">
                <a16:creationId xmlns:a16="http://schemas.microsoft.com/office/drawing/2014/main" id="{00000000-0008-0000-0200-000043000000}"/>
              </a:ext>
            </a:extLst>
          </xdr:cNvPr>
          <xdr:cNvSpPr/>
        </xdr:nvSpPr>
        <xdr:spPr>
          <a:xfrm rot="5400000">
            <a:off x="7132146" y="12607261"/>
            <a:ext cx="179334" cy="38841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68" name="Freeform: Shape 67" descr="Bracket line">
            <a:extLst>
              <a:ext uri="{FF2B5EF4-FFF2-40B4-BE49-F238E27FC236}">
                <a16:creationId xmlns:a16="http://schemas.microsoft.com/office/drawing/2014/main" id="{00000000-0008-0000-0200-000044000000}"/>
              </a:ext>
            </a:extLst>
          </xdr:cNvPr>
          <xdr:cNvSpPr/>
        </xdr:nvSpPr>
        <xdr:spPr>
          <a:xfrm rot="16200000" flipH="1">
            <a:off x="6628357" y="12602385"/>
            <a:ext cx="157944" cy="41194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69" name="Arc 68">
            <a:extLst>
              <a:ext uri="{FF2B5EF4-FFF2-40B4-BE49-F238E27FC236}">
                <a16:creationId xmlns:a16="http://schemas.microsoft.com/office/drawing/2014/main" id="{00000000-0008-0000-0200-000045000000}"/>
              </a:ext>
            </a:extLst>
          </xdr:cNvPr>
          <xdr:cNvSpPr/>
        </xdr:nvSpPr>
        <xdr:spPr>
          <a:xfrm>
            <a:off x="6802792" y="12888984"/>
            <a:ext cx="17527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0" name="Arc 69">
            <a:extLst>
              <a:ext uri="{FF2B5EF4-FFF2-40B4-BE49-F238E27FC236}">
                <a16:creationId xmlns:a16="http://schemas.microsoft.com/office/drawing/2014/main" id="{00000000-0008-0000-0200-000046000000}"/>
              </a:ext>
            </a:extLst>
          </xdr:cNvPr>
          <xdr:cNvSpPr/>
        </xdr:nvSpPr>
        <xdr:spPr>
          <a:xfrm flipH="1">
            <a:off x="6978069" y="12880168"/>
            <a:ext cx="17527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71" name="Graphic 96" descr="Flask">
            <a:extLst>
              <a:ext uri="{FF2B5EF4-FFF2-40B4-BE49-F238E27FC236}">
                <a16:creationId xmlns:a16="http://schemas.microsoft.com/office/drawing/2014/main" id="{00000000-0008-0000-0200-00004700000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375400" y="13028195"/>
            <a:ext cx="384748" cy="368300"/>
          </a:xfrm>
          <a:prstGeom prst="rect">
            <a:avLst/>
          </a:prstGeom>
        </xdr:spPr>
      </xdr:pic>
    </xdr:grpSp>
    <xdr:clientData/>
  </xdr:twoCellAnchor>
  <xdr:twoCellAnchor>
    <xdr:from>
      <xdr:col>2</xdr:col>
      <xdr:colOff>335281</xdr:colOff>
      <xdr:row>1</xdr:row>
      <xdr:rowOff>95250</xdr:rowOff>
    </xdr:from>
    <xdr:to>
      <xdr:col>2</xdr:col>
      <xdr:colOff>582931</xdr:colOff>
      <xdr:row>2</xdr:row>
      <xdr:rowOff>135206</xdr:rowOff>
    </xdr:to>
    <xdr:sp macro="" textlink="">
      <xdr:nvSpPr>
        <xdr:cNvPr id="72" name="Oval 71" descr="1">
          <a:extLst>
            <a:ext uri="{FF2B5EF4-FFF2-40B4-BE49-F238E27FC236}">
              <a16:creationId xmlns:a16="http://schemas.microsoft.com/office/drawing/2014/main" id="{00000000-0008-0000-0200-000048000000}"/>
            </a:ext>
          </a:extLst>
        </xdr:cNvPr>
        <xdr:cNvSpPr/>
      </xdr:nvSpPr>
      <xdr:spPr>
        <a:xfrm>
          <a:off x="7250431" y="857250"/>
          <a:ext cx="247650" cy="23045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a:latin typeface="Segoe UI Semibold" panose="020B0702040204020203" pitchFamily="34" charset="0"/>
              <a:cs typeface="Segoe UI Semibold" panose="020B0702040204020203" pitchFamily="34" charset="0"/>
            </a:rPr>
            <a:t>a</a:t>
          </a:r>
        </a:p>
      </xdr:txBody>
    </xdr:sp>
    <xdr:clientData/>
  </xdr:twoCellAnchor>
  <xdr:twoCellAnchor editAs="oneCell">
    <xdr:from>
      <xdr:col>3</xdr:col>
      <xdr:colOff>403862</xdr:colOff>
      <xdr:row>14</xdr:row>
      <xdr:rowOff>7621</xdr:rowOff>
    </xdr:from>
    <xdr:to>
      <xdr:col>5</xdr:col>
      <xdr:colOff>224792</xdr:colOff>
      <xdr:row>19</xdr:row>
      <xdr:rowOff>64771</xdr:rowOff>
    </xdr:to>
    <xdr:grpSp>
      <xdr:nvGrpSpPr>
        <xdr:cNvPr id="74" name="Group 73" descr="IMPORTANT DETAIL&#10;You can't clear a sort order like you can a filter. So if you don't want your sort to stick, undo it by pressing CTRL+Z">
          <a:extLst>
            <a:ext uri="{FF2B5EF4-FFF2-40B4-BE49-F238E27FC236}">
              <a16:creationId xmlns:a16="http://schemas.microsoft.com/office/drawing/2014/main" id="{00000000-0008-0000-0200-00004A000000}"/>
            </a:ext>
          </a:extLst>
        </xdr:cNvPr>
        <xdr:cNvGrpSpPr/>
      </xdr:nvGrpSpPr>
      <xdr:grpSpPr>
        <a:xfrm>
          <a:off x="7959092" y="3246121"/>
          <a:ext cx="2663190" cy="1009650"/>
          <a:chOff x="10582275" y="6629400"/>
          <a:chExt cx="2478154" cy="1009650"/>
        </a:xfrm>
      </xdr:grpSpPr>
      <xdr:pic>
        <xdr:nvPicPr>
          <xdr:cNvPr id="75" name="Graphic 122" descr="Magnifying glass">
            <a:extLst>
              <a:ext uri="{FF2B5EF4-FFF2-40B4-BE49-F238E27FC236}">
                <a16:creationId xmlns:a16="http://schemas.microsoft.com/office/drawing/2014/main" id="{00000000-0008-0000-0200-00004B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flipH="1">
            <a:off x="10582275" y="6674825"/>
            <a:ext cx="352313" cy="352311"/>
          </a:xfrm>
          <a:prstGeom prst="rect">
            <a:avLst/>
          </a:prstGeom>
        </xdr:spPr>
      </xdr:pic>
      <xdr:sp macro="" textlink="">
        <xdr:nvSpPr>
          <xdr:cNvPr id="76" name="Step" descr="IMPORTANT DETAIL&#10;You can't clear a sort order like you can a filter. So if you don't want your sort to stick, undo it by pressing CTRL+Z">
            <a:extLst>
              <a:ext uri="{FF2B5EF4-FFF2-40B4-BE49-F238E27FC236}">
                <a16:creationId xmlns:a16="http://schemas.microsoft.com/office/drawing/2014/main" id="{00000000-0008-0000-0200-00004C000000}"/>
              </a:ext>
            </a:extLst>
          </xdr:cNvPr>
          <xdr:cNvSpPr txBox="1"/>
        </xdr:nvSpPr>
        <xdr:spPr>
          <a:xfrm>
            <a:off x="10886716" y="6629400"/>
            <a:ext cx="2173713"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Select from dropdown</a:t>
            </a:r>
            <a:r>
              <a:rPr lang="en-US" sz="1200" b="1" kern="0" baseline="0">
                <a:solidFill>
                  <a:srgbClr val="ED7D31">
                    <a:lumMod val="60000"/>
                    <a:lumOff val="40000"/>
                  </a:srgbClr>
                </a:solidFill>
                <a:latin typeface="+mj-lt"/>
                <a:ea typeface="Segoe UI" pitchFamily="34" charset="0"/>
                <a:cs typeface="Segoe UI Light" panose="020B0502040204020203" pitchFamily="34" charset="0"/>
              </a:rPr>
              <a:t> List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For your convenience a list of typical AssetTypes are provided from which you can select from</a:t>
            </a:r>
            <a:r>
              <a:rPr lang="en-US" sz="1100" kern="0" baseline="0">
                <a:solidFill>
                  <a:schemeClr val="bg2">
                    <a:lumMod val="25000"/>
                  </a:schemeClr>
                </a:solidFill>
                <a:ea typeface="Segoe UI" pitchFamily="34" charset="0"/>
                <a:cs typeface="Segoe UI Light" panose="020B0502040204020203" pitchFamily="34" charset="0"/>
              </a:rPr>
              <a:t>.</a:t>
            </a:r>
            <a:endParaRPr lang="en-US" sz="1100">
              <a:solidFill>
                <a:schemeClr val="bg2">
                  <a:lumMod val="25000"/>
                </a:schemeClr>
              </a:solidFill>
              <a:ea typeface="Segoe UI" pitchFamily="34" charset="0"/>
              <a:cs typeface="Segoe UI Light" panose="020B0502040204020203" pitchFamily="34" charset="0"/>
            </a:endParaRPr>
          </a:p>
        </xdr:txBody>
      </xdr:sp>
    </xdr:grpSp>
    <xdr:clientData/>
  </xdr:twoCellAnchor>
  <xdr:twoCellAnchor>
    <xdr:from>
      <xdr:col>2</xdr:col>
      <xdr:colOff>499111</xdr:colOff>
      <xdr:row>13</xdr:row>
      <xdr:rowOff>7620</xdr:rowOff>
    </xdr:from>
    <xdr:to>
      <xdr:col>3</xdr:col>
      <xdr:colOff>106681</xdr:colOff>
      <xdr:row>14</xdr:row>
      <xdr:rowOff>47576</xdr:rowOff>
    </xdr:to>
    <xdr:sp macro="" textlink="">
      <xdr:nvSpPr>
        <xdr:cNvPr id="77" name="Oval 76" descr="1">
          <a:extLst>
            <a:ext uri="{FF2B5EF4-FFF2-40B4-BE49-F238E27FC236}">
              <a16:creationId xmlns:a16="http://schemas.microsoft.com/office/drawing/2014/main" id="{00000000-0008-0000-0200-00004D000000}"/>
            </a:ext>
          </a:extLst>
        </xdr:cNvPr>
        <xdr:cNvSpPr/>
      </xdr:nvSpPr>
      <xdr:spPr>
        <a:xfrm>
          <a:off x="7414261" y="3055620"/>
          <a:ext cx="247650" cy="23045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a:latin typeface="Segoe UI Semibold" panose="020B0702040204020203" pitchFamily="34" charset="0"/>
              <a:cs typeface="Segoe UI Semibold" panose="020B0702040204020203" pitchFamily="34" charset="0"/>
            </a:rPr>
            <a:t>b</a:t>
          </a:r>
        </a:p>
      </xdr:txBody>
    </xdr:sp>
    <xdr:clientData/>
  </xdr:twoCellAnchor>
  <xdr:twoCellAnchor>
    <xdr:from>
      <xdr:col>5</xdr:col>
      <xdr:colOff>121921</xdr:colOff>
      <xdr:row>3</xdr:row>
      <xdr:rowOff>152400</xdr:rowOff>
    </xdr:from>
    <xdr:to>
      <xdr:col>5</xdr:col>
      <xdr:colOff>369571</xdr:colOff>
      <xdr:row>5</xdr:row>
      <xdr:rowOff>1856</xdr:rowOff>
    </xdr:to>
    <xdr:sp macro="" textlink="">
      <xdr:nvSpPr>
        <xdr:cNvPr id="78" name="Oval 77" descr="1">
          <a:extLst>
            <a:ext uri="{FF2B5EF4-FFF2-40B4-BE49-F238E27FC236}">
              <a16:creationId xmlns:a16="http://schemas.microsoft.com/office/drawing/2014/main" id="{00000000-0008-0000-0200-00004E000000}"/>
            </a:ext>
          </a:extLst>
        </xdr:cNvPr>
        <xdr:cNvSpPr/>
      </xdr:nvSpPr>
      <xdr:spPr>
        <a:xfrm>
          <a:off x="10519411" y="1295400"/>
          <a:ext cx="247650" cy="23045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a:latin typeface="Segoe UI Semibold" panose="020B0702040204020203" pitchFamily="34" charset="0"/>
              <a:cs typeface="Segoe UI Semibold" panose="020B0702040204020203" pitchFamily="34" charset="0"/>
            </a:rPr>
            <a:t>c</a:t>
          </a:r>
        </a:p>
      </xdr:txBody>
    </xdr:sp>
    <xdr:clientData/>
  </xdr:twoCellAnchor>
  <xdr:twoCellAnchor>
    <xdr:from>
      <xdr:col>6</xdr:col>
      <xdr:colOff>274321</xdr:colOff>
      <xdr:row>3</xdr:row>
      <xdr:rowOff>99060</xdr:rowOff>
    </xdr:from>
    <xdr:to>
      <xdr:col>9</xdr:col>
      <xdr:colOff>118111</xdr:colOff>
      <xdr:row>7</xdr:row>
      <xdr:rowOff>114300</xdr:rowOff>
    </xdr:to>
    <xdr:sp macro="" textlink="">
      <xdr:nvSpPr>
        <xdr:cNvPr id="79" name="Step"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200-00004F000000}"/>
            </a:ext>
          </a:extLst>
        </xdr:cNvPr>
        <xdr:cNvSpPr txBox="1"/>
      </xdr:nvSpPr>
      <xdr:spPr>
        <a:xfrm>
          <a:off x="11311891" y="1242060"/>
          <a:ext cx="1764030" cy="777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Itemised Details</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Column CURRENT will be filled with current details every time you press the Refresh button.</a:t>
          </a:r>
        </a:p>
        <a:p>
          <a:pPr eaLnBrk="1" fontAlgn="auto" latinLnBrk="0" hangingPunct="1"/>
          <a:endParaRPr lang="en-US" sz="1000" b="0" i="0" kern="1200" baseline="0">
            <a:solidFill>
              <a:schemeClr val="dk1"/>
            </a:solidFill>
            <a:effectLst/>
            <a:latin typeface="+mn-lt"/>
            <a:ea typeface="+mn-ea"/>
            <a:cs typeface="+mn-cs"/>
          </a:endParaRPr>
        </a:p>
      </xdr:txBody>
    </xdr:sp>
    <xdr:clientData/>
  </xdr:twoCellAnchor>
  <xdr:twoCellAnchor editAs="oneCell">
    <xdr:from>
      <xdr:col>0</xdr:col>
      <xdr:colOff>300990</xdr:colOff>
      <xdr:row>24</xdr:row>
      <xdr:rowOff>121920</xdr:rowOff>
    </xdr:from>
    <xdr:to>
      <xdr:col>1</xdr:col>
      <xdr:colOff>5149215</xdr:colOff>
      <xdr:row>45</xdr:row>
      <xdr:rowOff>172777</xdr:rowOff>
    </xdr:to>
    <xdr:grpSp>
      <xdr:nvGrpSpPr>
        <xdr:cNvPr id="94" name="Fill a series" descr="Fill a series&#10;Excel can automatically fill some cells based on a series. For example, you can type Jan in one cell, and then fill the other cells with Feb, Mar, etc. &#10;Click the cell with the word Jan.&#10;Rest your cursor on the lower-right corner of the cell until it becomes a cross, then drag right two cells. Excel detects a series, and fills in Feb and Mar for you.&#10;Now select the cell with Week 1&#10;Rest your cursor on the lower-right corner again, and when you get the cross, double-click it.">
          <a:extLst>
            <a:ext uri="{FF2B5EF4-FFF2-40B4-BE49-F238E27FC236}">
              <a16:creationId xmlns:a16="http://schemas.microsoft.com/office/drawing/2014/main" id="{00000000-0008-0000-0200-00005E000000}"/>
            </a:ext>
          </a:extLst>
        </xdr:cNvPr>
        <xdr:cNvGrpSpPr/>
      </xdr:nvGrpSpPr>
      <xdr:grpSpPr>
        <a:xfrm>
          <a:off x="300990" y="5265420"/>
          <a:ext cx="5766435" cy="4051357"/>
          <a:chOff x="0" y="-9524"/>
          <a:chExt cx="5695950" cy="3946524"/>
        </a:xfrm>
      </xdr:grpSpPr>
      <xdr:sp macro="" textlink="">
        <xdr:nvSpPr>
          <xdr:cNvPr id="95" name="Rectangle 94" descr="Background">
            <a:extLst>
              <a:ext uri="{FF2B5EF4-FFF2-40B4-BE49-F238E27FC236}">
                <a16:creationId xmlns:a16="http://schemas.microsoft.com/office/drawing/2014/main" id="{00000000-0008-0000-0200-00005F000000}"/>
              </a:ext>
            </a:extLst>
          </xdr:cNvPr>
          <xdr:cNvSpPr/>
        </xdr:nvSpPr>
        <xdr:spPr>
          <a:xfrm>
            <a:off x="0" y="-9524"/>
            <a:ext cx="5695950" cy="394652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96" name="Step" descr="Fill a series">
            <a:extLst>
              <a:ext uri="{FF2B5EF4-FFF2-40B4-BE49-F238E27FC236}">
                <a16:creationId xmlns:a16="http://schemas.microsoft.com/office/drawing/2014/main" id="{00000000-0008-0000-0200-000060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Errors encountered </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97" name="Straight Connector 96" descr="Decorative line">
            <a:extLst>
              <a:ext uri="{FF2B5EF4-FFF2-40B4-BE49-F238E27FC236}">
                <a16:creationId xmlns:a16="http://schemas.microsoft.com/office/drawing/2014/main" id="{00000000-0008-0000-0200-000061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descr="Decorative line">
            <a:extLst>
              <a:ext uri="{FF2B5EF4-FFF2-40B4-BE49-F238E27FC236}">
                <a16:creationId xmlns:a16="http://schemas.microsoft.com/office/drawing/2014/main" id="{00000000-0008-0000-0200-000062000000}"/>
              </a:ext>
            </a:extLst>
          </xdr:cNvPr>
          <xdr:cNvCxnSpPr>
            <a:cxnSpLocks/>
          </xdr:cNvCxnSpPr>
        </xdr:nvCxnSpPr>
        <xdr:spPr>
          <a:xfrm>
            <a:off x="234924" y="37338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9" name="Step" descr="Excel can automatically fill some cells based on a series. For example, you can type Jan in one cell, and then fill the other cells with Feb, Mar, etc. ">
            <a:extLst>
              <a:ext uri="{FF2B5EF4-FFF2-40B4-BE49-F238E27FC236}">
                <a16:creationId xmlns:a16="http://schemas.microsoft.com/office/drawing/2014/main" id="{00000000-0008-0000-0200-000063000000}"/>
              </a:ext>
            </a:extLst>
          </xdr:cNvPr>
          <xdr:cNvSpPr txBox="1"/>
        </xdr:nvSpPr>
        <xdr:spPr>
          <a:xfrm>
            <a:off x="228600" y="699721"/>
            <a:ext cx="5300938" cy="42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i="0" kern="1200">
                <a:solidFill>
                  <a:schemeClr val="dk1"/>
                </a:solidFill>
                <a:effectLst/>
                <a:latin typeface="+mj-lt"/>
                <a:ea typeface="+mn-ea"/>
                <a:cs typeface="+mn-cs"/>
              </a:rPr>
              <a:t>In the event that the REST API does not return an all OK status (HTTP 200)</a:t>
            </a:r>
            <a:endParaRPr lang="en-US" sz="1100" i="0">
              <a:latin typeface="+mj-lt"/>
              <a:cs typeface="Segoe UI" panose="020B0502040204020203" pitchFamily="34" charset="0"/>
            </a:endParaRPr>
          </a:p>
        </xdr:txBody>
      </xdr:sp>
      <xdr:sp macro="" textlink="">
        <xdr:nvSpPr>
          <xdr:cNvPr id="100" name="Step" descr="Click the cell with the word Jan">
            <a:extLst>
              <a:ext uri="{FF2B5EF4-FFF2-40B4-BE49-F238E27FC236}">
                <a16:creationId xmlns:a16="http://schemas.microsoft.com/office/drawing/2014/main" id="{00000000-0008-0000-0200-000064000000}"/>
              </a:ext>
            </a:extLst>
          </xdr:cNvPr>
          <xdr:cNvSpPr txBox="1"/>
        </xdr:nvSpPr>
        <xdr:spPr>
          <a:xfrm>
            <a:off x="638783" y="1207467"/>
            <a:ext cx="4809516" cy="419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 RED flag will appear next to </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each item</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ASSET TYPE where a non OK status was received</a:t>
            </a:r>
          </a:p>
        </xdr:txBody>
      </xdr:sp>
      <xdr:sp macro="" textlink="">
        <xdr:nvSpPr>
          <xdr:cNvPr id="101" name="Oval 100" descr="1">
            <a:extLst>
              <a:ext uri="{FF2B5EF4-FFF2-40B4-BE49-F238E27FC236}">
                <a16:creationId xmlns:a16="http://schemas.microsoft.com/office/drawing/2014/main" id="{00000000-0008-0000-0200-000065000000}"/>
              </a:ext>
            </a:extLst>
          </xdr:cNvPr>
          <xdr:cNvSpPr/>
        </xdr:nvSpPr>
        <xdr:spPr>
          <a:xfrm>
            <a:off x="231749" y="116496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a</a:t>
            </a:r>
          </a:p>
        </xdr:txBody>
      </xdr:sp>
      <xdr:sp macro="" textlink="">
        <xdr:nvSpPr>
          <xdr:cNvPr id="102" name="Step" descr="Rest your cursor on the lower-right corner of the cell until it becomes a cross, then drag right two cells. Excel detects a series, and fills in Feb and Mar for you">
            <a:extLst>
              <a:ext uri="{FF2B5EF4-FFF2-40B4-BE49-F238E27FC236}">
                <a16:creationId xmlns:a16="http://schemas.microsoft.com/office/drawing/2014/main" id="{00000000-0008-0000-0200-000066000000}"/>
              </a:ext>
            </a:extLst>
          </xdr:cNvPr>
          <xdr:cNvSpPr txBox="1"/>
        </xdr:nvSpPr>
        <xdr:spPr>
          <a:xfrm>
            <a:off x="638782" y="1684080"/>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Typically this would indicate a non-valid AssetType.  However you can diagnose</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by looking at the return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STATUS code </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or the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Payload  response.  These would be in the same Row as the item in the Balance sheet where the error was encountered</a:t>
            </a:r>
            <a:endPar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03" name="Oval 102" descr="2">
            <a:extLst>
              <a:ext uri="{FF2B5EF4-FFF2-40B4-BE49-F238E27FC236}">
                <a16:creationId xmlns:a16="http://schemas.microsoft.com/office/drawing/2014/main" id="{00000000-0008-0000-0200-000067000000}"/>
              </a:ext>
            </a:extLst>
          </xdr:cNvPr>
          <xdr:cNvSpPr/>
        </xdr:nvSpPr>
        <xdr:spPr>
          <a:xfrm>
            <a:off x="231749" y="164158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b</a:t>
            </a:r>
          </a:p>
        </xdr:txBody>
      </xdr:sp>
      <xdr:sp macro="" textlink="">
        <xdr:nvSpPr>
          <xdr:cNvPr id="106" name="Step" descr="Rest your cursor on the lower-right corner again, and when you get the cross, double-click it">
            <a:extLst>
              <a:ext uri="{FF2B5EF4-FFF2-40B4-BE49-F238E27FC236}">
                <a16:creationId xmlns:a16="http://schemas.microsoft.com/office/drawing/2014/main" id="{00000000-0008-0000-0200-00006A000000}"/>
              </a:ext>
            </a:extLst>
          </xdr:cNvPr>
          <xdr:cNvSpPr txBox="1"/>
        </xdr:nvSpPr>
        <xdr:spPr>
          <a:xfrm>
            <a:off x="638782" y="2823798"/>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the event that you want to interrogate the actual Payload.  Copy the payload to any Json Viewer.  A link is provided for an online JSON Viewer</a:t>
            </a:r>
          </a:p>
        </xdr:txBody>
      </xdr:sp>
      <xdr:sp macro="" textlink="">
        <xdr:nvSpPr>
          <xdr:cNvPr id="107" name="Oval 106" descr="4">
            <a:extLst>
              <a:ext uri="{FF2B5EF4-FFF2-40B4-BE49-F238E27FC236}">
                <a16:creationId xmlns:a16="http://schemas.microsoft.com/office/drawing/2014/main" id="{00000000-0008-0000-0200-00006B000000}"/>
              </a:ext>
            </a:extLst>
          </xdr:cNvPr>
          <xdr:cNvSpPr/>
        </xdr:nvSpPr>
        <xdr:spPr>
          <a:xfrm>
            <a:off x="231749" y="278130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c</a:t>
            </a:r>
          </a:p>
        </xdr:txBody>
      </xdr:sp>
    </xdr:grpSp>
    <xdr:clientData/>
  </xdr:twoCellAnchor>
  <xdr:twoCellAnchor>
    <xdr:from>
      <xdr:col>0</xdr:col>
      <xdr:colOff>872490</xdr:colOff>
      <xdr:row>18</xdr:row>
      <xdr:rowOff>106680</xdr:rowOff>
    </xdr:from>
    <xdr:to>
      <xdr:col>1</xdr:col>
      <xdr:colOff>2711044</xdr:colOff>
      <xdr:row>21</xdr:row>
      <xdr:rowOff>71401</xdr:rowOff>
    </xdr:to>
    <xdr:sp macro="" textlink="">
      <xdr:nvSpPr>
        <xdr:cNvPr id="108" name="Next Button" descr="Dive down for more detail">
          <a:extLst>
            <a:ext uri="{FF2B5EF4-FFF2-40B4-BE49-F238E27FC236}">
              <a16:creationId xmlns:a16="http://schemas.microsoft.com/office/drawing/2014/main" id="{00000000-0008-0000-0200-00006C000000}"/>
            </a:ext>
          </a:extLst>
        </xdr:cNvPr>
        <xdr:cNvSpPr/>
      </xdr:nvSpPr>
      <xdr:spPr>
        <a:xfrm>
          <a:off x="872490" y="4107180"/>
          <a:ext cx="2756764" cy="536221"/>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editAs="oneCell">
    <xdr:from>
      <xdr:col>2</xdr:col>
      <xdr:colOff>441960</xdr:colOff>
      <xdr:row>29</xdr:row>
      <xdr:rowOff>53340</xdr:rowOff>
    </xdr:from>
    <xdr:to>
      <xdr:col>6</xdr:col>
      <xdr:colOff>99294</xdr:colOff>
      <xdr:row>41</xdr:row>
      <xdr:rowOff>75586</xdr:rowOff>
    </xdr:to>
    <xdr:grpSp>
      <xdr:nvGrpSpPr>
        <xdr:cNvPr id="109" name="Group 108"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200-00006D000000}"/>
            </a:ext>
          </a:extLst>
        </xdr:cNvPr>
        <xdr:cNvGrpSpPr/>
      </xdr:nvGrpSpPr>
      <xdr:grpSpPr>
        <a:xfrm>
          <a:off x="7357110" y="6149340"/>
          <a:ext cx="3779754" cy="2308246"/>
          <a:chOff x="6705600" y="9845654"/>
          <a:chExt cx="3482574" cy="2308246"/>
        </a:xfrm>
      </xdr:grpSpPr>
      <xdr:sp macro="" textlink="">
        <xdr:nvSpPr>
          <xdr:cNvPr id="110" name="Freeform: Shape 109" descr="Arrow">
            <a:extLst>
              <a:ext uri="{FF2B5EF4-FFF2-40B4-BE49-F238E27FC236}">
                <a16:creationId xmlns:a16="http://schemas.microsoft.com/office/drawing/2014/main" id="{00000000-0008-0000-0200-00006E000000}"/>
              </a:ext>
            </a:extLst>
          </xdr:cNvPr>
          <xdr:cNvSpPr/>
        </xdr:nvSpPr>
        <xdr:spPr>
          <a:xfrm>
            <a:off x="8496466" y="9845654"/>
            <a:ext cx="804429" cy="87837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1" name="Step"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200-00006F000000}"/>
              </a:ext>
            </a:extLst>
          </xdr:cNvPr>
          <xdr:cNvSpPr txBox="1"/>
        </xdr:nvSpPr>
        <xdr:spPr>
          <a:xfrm>
            <a:off x="7077075" y="10623960"/>
            <a:ext cx="2838450" cy="1529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RESPONSE </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Status Codes will be status values returned by IGC.  Refer to IGC Documentation to diagnose.</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endParaRPr lang="en-US" sz="1000" b="0" i="0" kern="1200" baseline="0">
              <a:solidFill>
                <a:schemeClr val="dk1"/>
              </a:solidFill>
              <a:effectLst/>
              <a:latin typeface="+mn-lt"/>
              <a:ea typeface="+mn-ea"/>
              <a:cs typeface="+mn-cs"/>
            </a:endParaRPr>
          </a:p>
        </xdr:txBody>
      </xdr:sp>
      <xdr:pic>
        <xdr:nvPicPr>
          <xdr:cNvPr id="112" name="Graphic 147" descr="Glasses">
            <a:extLst>
              <a:ext uri="{FF2B5EF4-FFF2-40B4-BE49-F238E27FC236}">
                <a16:creationId xmlns:a16="http://schemas.microsoft.com/office/drawing/2014/main" id="{00000000-0008-0000-0200-000070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05600" y="10585887"/>
            <a:ext cx="323835" cy="364733"/>
          </a:xfrm>
          <a:prstGeom prst="rect">
            <a:avLst/>
          </a:prstGeom>
        </xdr:spPr>
      </xdr:pic>
      <xdr:pic>
        <xdr:nvPicPr>
          <xdr:cNvPr id="113" name="Picture 112" descr="AutoFill Options">
            <a:extLst>
              <a:ext uri="{FF2B5EF4-FFF2-40B4-BE49-F238E27FC236}">
                <a16:creationId xmlns:a16="http://schemas.microsoft.com/office/drawing/2014/main" id="{00000000-0008-0000-0200-000071000000}"/>
              </a:ext>
            </a:extLst>
          </xdr:cNvPr>
          <xdr:cNvPicPr>
            <a:picLocks noChangeAspect="1"/>
          </xdr:cNvPicPr>
        </xdr:nvPicPr>
        <xdr:blipFill rotWithShape="1">
          <a:blip xmlns:r="http://schemas.openxmlformats.org/officeDocument/2006/relationships" r:embed="rId4"/>
          <a:srcRect l="15611" t="14187" r="4668" b="11100"/>
          <a:stretch/>
        </xdr:blipFill>
        <xdr:spPr>
          <a:xfrm>
            <a:off x="9998667" y="11017937"/>
            <a:ext cx="189507" cy="191986"/>
          </a:xfrm>
          <a:prstGeom prst="rect">
            <a:avLst/>
          </a:prstGeom>
        </xdr:spPr>
      </xdr:pic>
    </xdr:grpSp>
    <xdr:clientData/>
  </xdr:twoCellAnchor>
  <xdr:twoCellAnchor>
    <xdr:from>
      <xdr:col>4</xdr:col>
      <xdr:colOff>2038350</xdr:colOff>
      <xdr:row>28</xdr:row>
      <xdr:rowOff>95250</xdr:rowOff>
    </xdr:from>
    <xdr:to>
      <xdr:col>8</xdr:col>
      <xdr:colOff>186690</xdr:colOff>
      <xdr:row>30</xdr:row>
      <xdr:rowOff>41910</xdr:rowOff>
    </xdr:to>
    <xdr:sp macro="" textlink="">
      <xdr:nvSpPr>
        <xdr:cNvPr id="114" name="Rectangle 113">
          <a:hlinkClick xmlns:r="http://schemas.openxmlformats.org/officeDocument/2006/relationships" r:id="rId16"/>
          <a:extLst>
            <a:ext uri="{FF2B5EF4-FFF2-40B4-BE49-F238E27FC236}">
              <a16:creationId xmlns:a16="http://schemas.microsoft.com/office/drawing/2014/main" id="{00000000-0008-0000-0200-000072000000}"/>
            </a:ext>
          </a:extLst>
        </xdr:cNvPr>
        <xdr:cNvSpPr/>
      </xdr:nvSpPr>
      <xdr:spPr>
        <a:xfrm>
          <a:off x="10233660" y="6000750"/>
          <a:ext cx="2270760" cy="327660"/>
        </a:xfrm>
        <a:prstGeom prst="rec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p>
          <a:pPr marL="0" indent="0" algn="ctr" defTabSz="914400" rtl="0" eaLnBrk="1" latinLnBrk="0" hangingPunct="1"/>
          <a:r>
            <a:rPr lang="en-US" sz="1200" kern="1200">
              <a:solidFill>
                <a:srgbClr val="0B744D"/>
              </a:solidFill>
              <a:latin typeface="Segoe UI" pitchFamily="34" charset="0"/>
              <a:ea typeface="Segoe UI" pitchFamily="34" charset="0"/>
              <a:cs typeface="Segoe UI" pitchFamily="34" charset="0"/>
            </a:rPr>
            <a:t>Click to see Response</a:t>
          </a:r>
        </a:p>
      </xdr:txBody>
    </xdr:sp>
    <xdr:clientData/>
  </xdr:twoCellAnchor>
  <xdr:twoCellAnchor editAs="oneCell">
    <xdr:from>
      <xdr:col>3</xdr:col>
      <xdr:colOff>121921</xdr:colOff>
      <xdr:row>36</xdr:row>
      <xdr:rowOff>152400</xdr:rowOff>
    </xdr:from>
    <xdr:to>
      <xdr:col>5</xdr:col>
      <xdr:colOff>358330</xdr:colOff>
      <xdr:row>51</xdr:row>
      <xdr:rowOff>38100</xdr:rowOff>
    </xdr:to>
    <xdr:pic>
      <xdr:nvPicPr>
        <xdr:cNvPr id="115" name="Picture 114">
          <a:extLst>
            <a:ext uri="{FF2B5EF4-FFF2-40B4-BE49-F238E27FC236}">
              <a16:creationId xmlns:a16="http://schemas.microsoft.com/office/drawing/2014/main" id="{00000000-0008-0000-0200-000073000000}"/>
            </a:ext>
          </a:extLst>
        </xdr:cNvPr>
        <xdr:cNvPicPr>
          <a:picLocks noChangeAspect="1"/>
        </xdr:cNvPicPr>
      </xdr:nvPicPr>
      <xdr:blipFill>
        <a:blip xmlns:r="http://schemas.openxmlformats.org/officeDocument/2006/relationships" r:embed="rId17"/>
        <a:stretch>
          <a:fillRect/>
        </a:stretch>
      </xdr:blipFill>
      <xdr:spPr>
        <a:xfrm>
          <a:off x="7677151" y="7581900"/>
          <a:ext cx="3078669" cy="2743200"/>
        </a:xfrm>
        <a:prstGeom prst="rect">
          <a:avLst/>
        </a:prstGeom>
      </xdr:spPr>
    </xdr:pic>
    <xdr:clientData/>
  </xdr:twoCellAnchor>
  <xdr:twoCellAnchor>
    <xdr:from>
      <xdr:col>1</xdr:col>
      <xdr:colOff>2247900</xdr:colOff>
      <xdr:row>14</xdr:row>
      <xdr:rowOff>133350</xdr:rowOff>
    </xdr:from>
    <xdr:to>
      <xdr:col>1</xdr:col>
      <xdr:colOff>3135630</xdr:colOff>
      <xdr:row>15</xdr:row>
      <xdr:rowOff>171450</xdr:rowOff>
    </xdr:to>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3166110" y="3371850"/>
          <a:ext cx="887730" cy="228600"/>
        </a:xfrm>
        <a:prstGeom prst="roundRect">
          <a:avLst/>
        </a:prstGeom>
        <a:solidFill>
          <a:srgbClr val="00B05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a:t>
          </a:r>
        </a:p>
      </xdr:txBody>
    </xdr:sp>
    <xdr:clientData/>
  </xdr:twoCellAnchor>
  <xdr:twoCellAnchor editAs="oneCell">
    <xdr:from>
      <xdr:col>0</xdr:col>
      <xdr:colOff>293370</xdr:colOff>
      <xdr:row>49</xdr:row>
      <xdr:rowOff>156210</xdr:rowOff>
    </xdr:from>
    <xdr:to>
      <xdr:col>1</xdr:col>
      <xdr:colOff>5141595</xdr:colOff>
      <xdr:row>71</xdr:row>
      <xdr:rowOff>16567</xdr:rowOff>
    </xdr:to>
    <xdr:grpSp>
      <xdr:nvGrpSpPr>
        <xdr:cNvPr id="80" name="Fill a series" descr="Fill a series&#10;Excel can automatically fill some cells based on a series. For example, you can type Jan in one cell, and then fill the other cells with Feb, Mar, etc. &#10;Click the cell with the word Jan.&#10;Rest your cursor on the lower-right corner of the cell until it becomes a cross, then drag right two cells. Excel detects a series, and fills in Feb and Mar for you.&#10;Now select the cell with Week 1&#10;Rest your cursor on the lower-right corner again, and when you get the cross, double-click it.">
          <a:extLst>
            <a:ext uri="{FF2B5EF4-FFF2-40B4-BE49-F238E27FC236}">
              <a16:creationId xmlns:a16="http://schemas.microsoft.com/office/drawing/2014/main" id="{00000000-0008-0000-0200-000050000000}"/>
            </a:ext>
          </a:extLst>
        </xdr:cNvPr>
        <xdr:cNvGrpSpPr/>
      </xdr:nvGrpSpPr>
      <xdr:grpSpPr>
        <a:xfrm>
          <a:off x="293370" y="10062210"/>
          <a:ext cx="5766435" cy="4051357"/>
          <a:chOff x="0" y="-9524"/>
          <a:chExt cx="5695950" cy="3946524"/>
        </a:xfrm>
      </xdr:grpSpPr>
      <xdr:sp macro="" textlink="">
        <xdr:nvSpPr>
          <xdr:cNvPr id="81" name="Rectangle 80" descr="Background">
            <a:extLst>
              <a:ext uri="{FF2B5EF4-FFF2-40B4-BE49-F238E27FC236}">
                <a16:creationId xmlns:a16="http://schemas.microsoft.com/office/drawing/2014/main" id="{00000000-0008-0000-0200-000051000000}"/>
              </a:ext>
            </a:extLst>
          </xdr:cNvPr>
          <xdr:cNvSpPr/>
        </xdr:nvSpPr>
        <xdr:spPr>
          <a:xfrm>
            <a:off x="0" y="-9524"/>
            <a:ext cx="5695950" cy="394652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82" name="Step" descr="Fill a series">
            <a:extLst>
              <a:ext uri="{FF2B5EF4-FFF2-40B4-BE49-F238E27FC236}">
                <a16:creationId xmlns:a16="http://schemas.microsoft.com/office/drawing/2014/main" id="{00000000-0008-0000-0200-000052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Setting Targets for yourself</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83" name="Straight Connector 82" descr="Decorative line">
            <a:extLst>
              <a:ext uri="{FF2B5EF4-FFF2-40B4-BE49-F238E27FC236}">
                <a16:creationId xmlns:a16="http://schemas.microsoft.com/office/drawing/2014/main" id="{00000000-0008-0000-0200-000053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descr="Decorative line">
            <a:extLst>
              <a:ext uri="{FF2B5EF4-FFF2-40B4-BE49-F238E27FC236}">
                <a16:creationId xmlns:a16="http://schemas.microsoft.com/office/drawing/2014/main" id="{00000000-0008-0000-0200-000054000000}"/>
              </a:ext>
            </a:extLst>
          </xdr:cNvPr>
          <xdr:cNvCxnSpPr>
            <a:cxnSpLocks/>
          </xdr:cNvCxnSpPr>
        </xdr:nvCxnSpPr>
        <xdr:spPr>
          <a:xfrm>
            <a:off x="253741" y="2650068"/>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5" name="Step" descr="Excel can automatically fill some cells based on a series. For example, you can type Jan in one cell, and then fill the other cells with Feb, Mar, etc. ">
            <a:extLst>
              <a:ext uri="{FF2B5EF4-FFF2-40B4-BE49-F238E27FC236}">
                <a16:creationId xmlns:a16="http://schemas.microsoft.com/office/drawing/2014/main" id="{00000000-0008-0000-0200-000055000000}"/>
              </a:ext>
            </a:extLst>
          </xdr:cNvPr>
          <xdr:cNvSpPr txBox="1"/>
        </xdr:nvSpPr>
        <xdr:spPr>
          <a:xfrm>
            <a:off x="228600" y="699721"/>
            <a:ext cx="5300938" cy="42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i="0" kern="1200">
                <a:solidFill>
                  <a:schemeClr val="dk1"/>
                </a:solidFill>
                <a:effectLst/>
                <a:latin typeface="+mj-lt"/>
                <a:ea typeface="+mn-ea"/>
                <a:cs typeface="+mn-cs"/>
              </a:rPr>
              <a:t>Discretionary Targets may be set in the Balance sheet</a:t>
            </a:r>
            <a:endParaRPr lang="en-US" sz="1100" i="0">
              <a:latin typeface="+mj-lt"/>
              <a:cs typeface="Segoe UI" panose="020B0502040204020203" pitchFamily="34" charset="0"/>
            </a:endParaRPr>
          </a:p>
        </xdr:txBody>
      </xdr:sp>
      <xdr:sp macro="" textlink="">
        <xdr:nvSpPr>
          <xdr:cNvPr id="86" name="Step" descr="Click the cell with the word Jan">
            <a:extLst>
              <a:ext uri="{FF2B5EF4-FFF2-40B4-BE49-F238E27FC236}">
                <a16:creationId xmlns:a16="http://schemas.microsoft.com/office/drawing/2014/main" id="{00000000-0008-0000-0200-000056000000}"/>
              </a:ext>
            </a:extLst>
          </xdr:cNvPr>
          <xdr:cNvSpPr txBox="1"/>
        </xdr:nvSpPr>
        <xdr:spPr>
          <a:xfrm>
            <a:off x="638783" y="1207467"/>
            <a:ext cx="4809516" cy="419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 every itemised</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line in the Balance sheet a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Target </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may be set y entering a value in the Target column</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87" name="Oval 86" descr="1">
            <a:extLst>
              <a:ext uri="{FF2B5EF4-FFF2-40B4-BE49-F238E27FC236}">
                <a16:creationId xmlns:a16="http://schemas.microsoft.com/office/drawing/2014/main" id="{00000000-0008-0000-0200-000057000000}"/>
              </a:ext>
            </a:extLst>
          </xdr:cNvPr>
          <xdr:cNvSpPr/>
        </xdr:nvSpPr>
        <xdr:spPr>
          <a:xfrm>
            <a:off x="231749" y="116496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a</a:t>
            </a:r>
          </a:p>
        </xdr:txBody>
      </xdr:sp>
      <xdr:sp macro="" textlink="">
        <xdr:nvSpPr>
          <xdr:cNvPr id="88" name="Step" descr="Rest your cursor on the lower-right corner of the cell until it becomes a cross, then drag right two cells. Excel detects a series, and fills in Feb and Mar for you">
            <a:extLst>
              <a:ext uri="{FF2B5EF4-FFF2-40B4-BE49-F238E27FC236}">
                <a16:creationId xmlns:a16="http://schemas.microsoft.com/office/drawing/2014/main" id="{00000000-0008-0000-0200-000058000000}"/>
              </a:ext>
            </a:extLst>
          </xdr:cNvPr>
          <xdr:cNvSpPr txBox="1"/>
        </xdr:nvSpPr>
        <xdr:spPr>
          <a:xfrm>
            <a:off x="638782" y="1684080"/>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Based on Current a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delta</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is calcualted with the resultant added to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Trend</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column.</a:t>
            </a:r>
            <a:endPar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89" name="Oval 88" descr="2">
            <a:extLst>
              <a:ext uri="{FF2B5EF4-FFF2-40B4-BE49-F238E27FC236}">
                <a16:creationId xmlns:a16="http://schemas.microsoft.com/office/drawing/2014/main" id="{00000000-0008-0000-0200-000059000000}"/>
              </a:ext>
            </a:extLst>
          </xdr:cNvPr>
          <xdr:cNvSpPr/>
        </xdr:nvSpPr>
        <xdr:spPr>
          <a:xfrm>
            <a:off x="231749" y="164158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b</a:t>
            </a:r>
          </a:p>
        </xdr:txBody>
      </xdr:sp>
    </xdr:grpSp>
    <xdr:clientData/>
  </xdr:twoCellAnchor>
  <xdr:twoCellAnchor editAs="oneCell">
    <xdr:from>
      <xdr:col>4</xdr:col>
      <xdr:colOff>38100</xdr:colOff>
      <xdr:row>59</xdr:row>
      <xdr:rowOff>87630</xdr:rowOff>
    </xdr:from>
    <xdr:to>
      <xdr:col>4</xdr:col>
      <xdr:colOff>2049780</xdr:colOff>
      <xdr:row>62</xdr:row>
      <xdr:rowOff>106680</xdr:rowOff>
    </xdr:to>
    <xdr:pic>
      <xdr:nvPicPr>
        <xdr:cNvPr id="93" name="Picture 92">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8233410" y="11898630"/>
          <a:ext cx="2011680" cy="590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224790</xdr:colOff>
      <xdr:row>56</xdr:row>
      <xdr:rowOff>45720</xdr:rowOff>
    </xdr:from>
    <xdr:to>
      <xdr:col>7</xdr:col>
      <xdr:colOff>294373</xdr:colOff>
      <xdr:row>65</xdr:row>
      <xdr:rowOff>179070</xdr:rowOff>
    </xdr:to>
    <xdr:grpSp>
      <xdr:nvGrpSpPr>
        <xdr:cNvPr id="104" name="Transpose data selection 1" descr="So select these 2 columns...&#10;...and these 6 rows before you type the formula">
          <a:extLst>
            <a:ext uri="{FF2B5EF4-FFF2-40B4-BE49-F238E27FC236}">
              <a16:creationId xmlns:a16="http://schemas.microsoft.com/office/drawing/2014/main" id="{00000000-0008-0000-0200-000068000000}"/>
            </a:ext>
          </a:extLst>
        </xdr:cNvPr>
        <xdr:cNvGrpSpPr/>
      </xdr:nvGrpSpPr>
      <xdr:grpSpPr>
        <a:xfrm>
          <a:off x="8420100" y="11285220"/>
          <a:ext cx="3551923" cy="1847850"/>
          <a:chOff x="6286499" y="7781925"/>
          <a:chExt cx="2881363" cy="1847850"/>
        </a:xfrm>
      </xdr:grpSpPr>
      <xdr:sp macro="" textlink="">
        <xdr:nvSpPr>
          <xdr:cNvPr id="105" name="Step" descr="So select these 2 columns...">
            <a:extLst>
              <a:ext uri="{FF2B5EF4-FFF2-40B4-BE49-F238E27FC236}">
                <a16:creationId xmlns:a16="http://schemas.microsoft.com/office/drawing/2014/main" id="{00000000-0008-0000-0200-000069000000}"/>
              </a:ext>
            </a:extLst>
          </xdr:cNvPr>
          <xdr:cNvSpPr txBox="1"/>
        </xdr:nvSpPr>
        <xdr:spPr>
          <a:xfrm>
            <a:off x="6286499" y="7781925"/>
            <a:ext cx="18002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To set Targets...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16" name="Freeform: Shape 115" descr="Bracket line">
            <a:extLst>
              <a:ext uri="{FF2B5EF4-FFF2-40B4-BE49-F238E27FC236}">
                <a16:creationId xmlns:a16="http://schemas.microsoft.com/office/drawing/2014/main" id="{00000000-0008-0000-0200-000074000000}"/>
              </a:ext>
            </a:extLst>
          </xdr:cNvPr>
          <xdr:cNvSpPr/>
        </xdr:nvSpPr>
        <xdr:spPr>
          <a:xfrm rot="16200000">
            <a:off x="6546882" y="7995397"/>
            <a:ext cx="181608" cy="51187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7" name="Freeform: Shape 116" descr="Bracket line">
            <a:extLst>
              <a:ext uri="{FF2B5EF4-FFF2-40B4-BE49-F238E27FC236}">
                <a16:creationId xmlns:a16="http://schemas.microsoft.com/office/drawing/2014/main" id="{00000000-0008-0000-0200-000075000000}"/>
              </a:ext>
            </a:extLst>
          </xdr:cNvPr>
          <xdr:cNvSpPr/>
        </xdr:nvSpPr>
        <xdr:spPr>
          <a:xfrm rot="5400000" flipH="1">
            <a:off x="7167212" y="7995598"/>
            <a:ext cx="183793" cy="51223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8" name="Arc 117" descr="Bracket line">
            <a:extLst>
              <a:ext uri="{FF2B5EF4-FFF2-40B4-BE49-F238E27FC236}">
                <a16:creationId xmlns:a16="http://schemas.microsoft.com/office/drawing/2014/main" id="{00000000-0008-0000-0200-000076000000}"/>
              </a:ext>
            </a:extLst>
          </xdr:cNvPr>
          <xdr:cNvSpPr/>
        </xdr:nvSpPr>
        <xdr:spPr>
          <a:xfrm rot="10800000">
            <a:off x="6941019" y="7957781"/>
            <a:ext cx="167706"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9" name="Arc 118" descr="Bracket line">
            <a:extLst>
              <a:ext uri="{FF2B5EF4-FFF2-40B4-BE49-F238E27FC236}">
                <a16:creationId xmlns:a16="http://schemas.microsoft.com/office/drawing/2014/main" id="{00000000-0008-0000-0200-000077000000}"/>
              </a:ext>
            </a:extLst>
          </xdr:cNvPr>
          <xdr:cNvSpPr/>
        </xdr:nvSpPr>
        <xdr:spPr>
          <a:xfrm rot="10800000" flipH="1">
            <a:off x="6773313" y="7953373"/>
            <a:ext cx="167706"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0" name="Step" descr="...and these 6 rows before you type the formula">
            <a:extLst>
              <a:ext uri="{FF2B5EF4-FFF2-40B4-BE49-F238E27FC236}">
                <a16:creationId xmlns:a16="http://schemas.microsoft.com/office/drawing/2014/main" id="{00000000-0008-0000-0200-000078000000}"/>
              </a:ext>
            </a:extLst>
          </xdr:cNvPr>
          <xdr:cNvSpPr txBox="1"/>
        </xdr:nvSpPr>
        <xdr:spPr>
          <a:xfrm>
            <a:off x="7943850" y="8858251"/>
            <a:ext cx="1224012" cy="714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...modify to a target value you are striving for...</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21" name="Freeform: Shape 120" descr="Bracket line">
            <a:extLst>
              <a:ext uri="{FF2B5EF4-FFF2-40B4-BE49-F238E27FC236}">
                <a16:creationId xmlns:a16="http://schemas.microsoft.com/office/drawing/2014/main" id="{00000000-0008-0000-0200-000079000000}"/>
              </a:ext>
            </a:extLst>
          </xdr:cNvPr>
          <xdr:cNvSpPr/>
        </xdr:nvSpPr>
        <xdr:spPr>
          <a:xfrm>
            <a:off x="7684951" y="8618076"/>
            <a:ext cx="181608" cy="37162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2" name="Freeform: Shape 121" descr="Bracket line">
            <a:extLst>
              <a:ext uri="{FF2B5EF4-FFF2-40B4-BE49-F238E27FC236}">
                <a16:creationId xmlns:a16="http://schemas.microsoft.com/office/drawing/2014/main" id="{00000000-0008-0000-0200-00007A000000}"/>
              </a:ext>
            </a:extLst>
          </xdr:cNvPr>
          <xdr:cNvSpPr/>
        </xdr:nvSpPr>
        <xdr:spPr>
          <a:xfrm rot="10800000" flipH="1">
            <a:off x="7677296" y="9091650"/>
            <a:ext cx="183793" cy="53812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3" name="Arc 122" descr="Bracket line">
            <a:extLst>
              <a:ext uri="{FF2B5EF4-FFF2-40B4-BE49-F238E27FC236}">
                <a16:creationId xmlns:a16="http://schemas.microsoft.com/office/drawing/2014/main" id="{00000000-0008-0000-0200-00007B000000}"/>
              </a:ext>
            </a:extLst>
          </xdr:cNvPr>
          <xdr:cNvSpPr/>
        </xdr:nvSpPr>
        <xdr:spPr>
          <a:xfrm rot="16200000">
            <a:off x="7871447" y="9011047"/>
            <a:ext cx="176183"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4" name="Arc 123" descr="Bracket line">
            <a:extLst>
              <a:ext uri="{FF2B5EF4-FFF2-40B4-BE49-F238E27FC236}">
                <a16:creationId xmlns:a16="http://schemas.microsoft.com/office/drawing/2014/main" id="{00000000-0008-0000-0200-00007C000000}"/>
              </a:ext>
            </a:extLst>
          </xdr:cNvPr>
          <xdr:cNvSpPr/>
        </xdr:nvSpPr>
        <xdr:spPr>
          <a:xfrm rot="16200000" flipH="1">
            <a:off x="7869243" y="8828252"/>
            <a:ext cx="176183"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598170</xdr:colOff>
      <xdr:row>20</xdr:row>
      <xdr:rowOff>76200</xdr:rowOff>
    </xdr:from>
    <xdr:to>
      <xdr:col>8</xdr:col>
      <xdr:colOff>22860</xdr:colOff>
      <xdr:row>22</xdr:row>
      <xdr:rowOff>19050</xdr:rowOff>
    </xdr:to>
    <xdr:sp macro="[0]!Refresh" textlink="">
      <xdr:nvSpPr>
        <xdr:cNvPr id="2" name="Rectangle: Rounded Corners 1">
          <a:extLst>
            <a:ext uri="{FF2B5EF4-FFF2-40B4-BE49-F238E27FC236}">
              <a16:creationId xmlns:a16="http://schemas.microsoft.com/office/drawing/2014/main" id="{00000000-0008-0000-0300-000002000000}"/>
            </a:ext>
          </a:extLst>
        </xdr:cNvPr>
        <xdr:cNvSpPr/>
      </xdr:nvSpPr>
      <xdr:spPr>
        <a:xfrm>
          <a:off x="7151370" y="4351020"/>
          <a:ext cx="1969770" cy="346710"/>
        </a:xfrm>
        <a:prstGeom prst="roundRect">
          <a:avLst/>
        </a:prstGeom>
        <a:solidFill>
          <a:srgbClr val="00B05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a:t>
          </a:r>
        </a:p>
      </xdr:txBody>
    </xdr:sp>
    <xdr:clientData/>
  </xdr:twoCellAnchor>
  <xdr:twoCellAnchor editAs="oneCell">
    <xdr:from>
      <xdr:col>1</xdr:col>
      <xdr:colOff>182880</xdr:colOff>
      <xdr:row>5</xdr:row>
      <xdr:rowOff>34290</xdr:rowOff>
    </xdr:from>
    <xdr:to>
      <xdr:col>1</xdr:col>
      <xdr:colOff>346710</xdr:colOff>
      <xdr:row>5</xdr:row>
      <xdr:rowOff>198120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48690" y="1059180"/>
          <a:ext cx="163830" cy="163830"/>
        </a:xfrm>
        <a:prstGeom prst="rect">
          <a:avLst/>
        </a:prstGeom>
      </xdr:spPr>
    </xdr:pic>
    <xdr:clientData/>
  </xdr:twoCellAnchor>
  <xdr:twoCellAnchor editAs="oneCell">
    <xdr:from>
      <xdr:col>1</xdr:col>
      <xdr:colOff>205740</xdr:colOff>
      <xdr:row>6</xdr:row>
      <xdr:rowOff>22860</xdr:rowOff>
    </xdr:from>
    <xdr:to>
      <xdr:col>1</xdr:col>
      <xdr:colOff>365760</xdr:colOff>
      <xdr:row>6</xdr:row>
      <xdr:rowOff>182880</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1550" y="1249680"/>
          <a:ext cx="160020" cy="160020"/>
        </a:xfrm>
        <a:prstGeom prst="rect">
          <a:avLst/>
        </a:prstGeom>
      </xdr:spPr>
    </xdr:pic>
    <xdr:clientData/>
  </xdr:twoCellAnchor>
  <xdr:twoCellAnchor editAs="oneCell">
    <xdr:from>
      <xdr:col>1</xdr:col>
      <xdr:colOff>194311</xdr:colOff>
      <xdr:row>9</xdr:row>
      <xdr:rowOff>48209</xdr:rowOff>
    </xdr:from>
    <xdr:to>
      <xdr:col>1</xdr:col>
      <xdr:colOff>350520</xdr:colOff>
      <xdr:row>10</xdr:row>
      <xdr:rowOff>2488</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60121" y="1880819"/>
          <a:ext cx="156209" cy="156209"/>
        </a:xfrm>
        <a:prstGeom prst="rect">
          <a:avLst/>
        </a:prstGeom>
      </xdr:spPr>
    </xdr:pic>
    <xdr:clientData/>
  </xdr:twoCellAnchor>
  <xdr:twoCellAnchor editAs="oneCell">
    <xdr:from>
      <xdr:col>1</xdr:col>
      <xdr:colOff>190500</xdr:colOff>
      <xdr:row>8</xdr:row>
      <xdr:rowOff>3810</xdr:rowOff>
    </xdr:from>
    <xdr:to>
      <xdr:col>1</xdr:col>
      <xdr:colOff>365760</xdr:colOff>
      <xdr:row>8</xdr:row>
      <xdr:rowOff>179070</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56310" y="1634490"/>
          <a:ext cx="175260" cy="175260"/>
        </a:xfrm>
        <a:prstGeom prst="rect">
          <a:avLst/>
        </a:prstGeom>
      </xdr:spPr>
    </xdr:pic>
    <xdr:clientData/>
  </xdr:twoCellAnchor>
  <xdr:twoCellAnchor editAs="oneCell">
    <xdr:from>
      <xdr:col>1</xdr:col>
      <xdr:colOff>205741</xdr:colOff>
      <xdr:row>13</xdr:row>
      <xdr:rowOff>60959</xdr:rowOff>
    </xdr:from>
    <xdr:to>
      <xdr:col>1</xdr:col>
      <xdr:colOff>337770</xdr:colOff>
      <xdr:row>13</xdr:row>
      <xdr:rowOff>192988</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71551" y="2701289"/>
          <a:ext cx="132029" cy="132029"/>
        </a:xfrm>
        <a:prstGeom prst="rect">
          <a:avLst/>
        </a:prstGeom>
      </xdr:spPr>
    </xdr:pic>
    <xdr:clientData/>
  </xdr:twoCellAnchor>
  <xdr:twoCellAnchor editAs="oneCell">
    <xdr:from>
      <xdr:col>1</xdr:col>
      <xdr:colOff>201930</xdr:colOff>
      <xdr:row>10</xdr:row>
      <xdr:rowOff>38100</xdr:rowOff>
    </xdr:from>
    <xdr:to>
      <xdr:col>1</xdr:col>
      <xdr:colOff>358140</xdr:colOff>
      <xdr:row>10</xdr:row>
      <xdr:rowOff>194310</xdr:rowOff>
    </xdr:to>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7740" y="2072640"/>
          <a:ext cx="156210" cy="156210"/>
        </a:xfrm>
        <a:prstGeom prst="rect">
          <a:avLst/>
        </a:prstGeom>
      </xdr:spPr>
    </xdr:pic>
    <xdr:clientData/>
  </xdr:twoCellAnchor>
  <xdr:twoCellAnchor editAs="oneCell">
    <xdr:from>
      <xdr:col>1</xdr:col>
      <xdr:colOff>182881</xdr:colOff>
      <xdr:row>11</xdr:row>
      <xdr:rowOff>25349</xdr:rowOff>
    </xdr:from>
    <xdr:to>
      <xdr:col>1</xdr:col>
      <xdr:colOff>369570</xdr:colOff>
      <xdr:row>12</xdr:row>
      <xdr:rowOff>10108</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48691" y="2261819"/>
          <a:ext cx="186689" cy="186689"/>
        </a:xfrm>
        <a:prstGeom prst="rect">
          <a:avLst/>
        </a:prstGeom>
      </xdr:spPr>
    </xdr:pic>
    <xdr:clientData/>
  </xdr:twoCellAnchor>
  <xdr:twoCellAnchor editAs="oneCell">
    <xdr:from>
      <xdr:col>1</xdr:col>
      <xdr:colOff>179071</xdr:colOff>
      <xdr:row>12</xdr:row>
      <xdr:rowOff>25349</xdr:rowOff>
    </xdr:from>
    <xdr:to>
      <xdr:col>1</xdr:col>
      <xdr:colOff>373380</xdr:colOff>
      <xdr:row>13</xdr:row>
      <xdr:rowOff>17728</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44881" y="2463749"/>
          <a:ext cx="194309" cy="194309"/>
        </a:xfrm>
        <a:prstGeom prst="rect">
          <a:avLst/>
        </a:prstGeom>
      </xdr:spPr>
    </xdr:pic>
    <xdr:clientData/>
  </xdr:twoCellAnchor>
  <xdr:twoCellAnchor editAs="oneCell">
    <xdr:from>
      <xdr:col>1</xdr:col>
      <xdr:colOff>171450</xdr:colOff>
      <xdr:row>14</xdr:row>
      <xdr:rowOff>0</xdr:rowOff>
    </xdr:from>
    <xdr:to>
      <xdr:col>1</xdr:col>
      <xdr:colOff>396240</xdr:colOff>
      <xdr:row>15</xdr:row>
      <xdr:rowOff>22860</xdr:rowOff>
    </xdr:to>
    <xdr:pic>
      <xdr:nvPicPr>
        <xdr:cNvPr id="5" name="Graphic 4" descr="User">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592580" y="2971800"/>
          <a:ext cx="224790" cy="22479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1150620</xdr:colOff>
          <xdr:row>0</xdr:row>
          <xdr:rowOff>114300</xdr:rowOff>
        </xdr:from>
        <xdr:to>
          <xdr:col>2</xdr:col>
          <xdr:colOff>2720340</xdr:colOff>
          <xdr:row>2</xdr:row>
          <xdr:rowOff>102870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1139190</xdr:colOff>
          <xdr:row>3</xdr:row>
          <xdr:rowOff>87630</xdr:rowOff>
        </xdr:from>
        <xdr:to>
          <xdr:col>2</xdr:col>
          <xdr:colOff>2708910</xdr:colOff>
          <xdr:row>5</xdr:row>
          <xdr:rowOff>76200</xdr:rowOff>
        </xdr:to>
        <xdr:sp macro="" textlink="">
          <xdr:nvSpPr>
            <xdr:cNvPr id="1027" name="CommandButton2"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293AA7E-3725-41AB-B335-A9A770911B1E}" name="Type_Table" displayName="Type_Table" ref="A1:A331" totalsRowShown="0">
  <autoFilter ref="A1:A331" xr:uid="{F6E81EDB-508C-4296-A516-E65B862189F1}"/>
  <tableColumns count="1">
    <tableColumn id="1" xr3:uid="{51348BDF-7939-4A37-8245-590A00FE1BA8}" name="Name"/>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o.microsoft.com/fwlink/?linkid=844732" TargetMode="External"/><Relationship Id="rId7" Type="http://schemas.openxmlformats.org/officeDocument/2006/relationships/drawing" Target="../drawings/drawing2.xml"/><Relationship Id="rId2" Type="http://schemas.openxmlformats.org/officeDocument/2006/relationships/hyperlink" Target="https://go.microsoft.com/fwlink/?linkid=844727" TargetMode="External"/><Relationship Id="rId1" Type="http://schemas.openxmlformats.org/officeDocument/2006/relationships/hyperlink" Target="https://go.microsoft.com/fwlink/?linkid=844719" TargetMode="External"/><Relationship Id="rId6" Type="http://schemas.openxmlformats.org/officeDocument/2006/relationships/printerSettings" Target="../printerSettings/printerSettings2.bin"/><Relationship Id="rId5" Type="http://schemas.openxmlformats.org/officeDocument/2006/relationships/hyperlink" Target="http://localhost:8443/" TargetMode="External"/><Relationship Id="rId4" Type="http://schemas.openxmlformats.org/officeDocument/2006/relationships/hyperlink" Target="https://go.microsoft.com/fwlink/?linkid=844737"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go.microsoft.com/fwlink/?linkid=844745" TargetMode="External"/><Relationship Id="rId1" Type="http://schemas.openxmlformats.org/officeDocument/2006/relationships/hyperlink" Target="https://go.microsoft.com/fwlink/?linkid=844741" TargetMode="Externa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codebeautify.org/jsonviewer" TargetMode="External"/><Relationship Id="rId1" Type="http://schemas.openxmlformats.org/officeDocument/2006/relationships/hyperlink" Target="https://localhost:9443/"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8" Type="http://schemas.openxmlformats.org/officeDocument/2006/relationships/image" Target="../media/image29.emf"/><Relationship Id="rId3" Type="http://schemas.openxmlformats.org/officeDocument/2006/relationships/drawing" Target="../drawings/drawing5.xml"/><Relationship Id="rId7" Type="http://schemas.openxmlformats.org/officeDocument/2006/relationships/control" Target="../activeX/activeX2.xml"/><Relationship Id="rId2" Type="http://schemas.openxmlformats.org/officeDocument/2006/relationships/printerSettings" Target="../printerSettings/printerSettings5.bin"/><Relationship Id="rId1" Type="http://schemas.openxmlformats.org/officeDocument/2006/relationships/hyperlink" Target="https://codebeautify.org/jsonviewer" TargetMode="External"/><Relationship Id="rId6" Type="http://schemas.openxmlformats.org/officeDocument/2006/relationships/image" Target="../media/image28.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E0892-1A60-4C23-97B1-ED3236D948E3}">
  <sheetPr codeName="Sheet4">
    <pageSetUpPr autoPageBreaks="0"/>
  </sheetPr>
  <dimension ref="A1:A5"/>
  <sheetViews>
    <sheetView showGridLines="0" workbookViewId="0">
      <selection activeCell="A3" sqref="A3"/>
    </sheetView>
  </sheetViews>
  <sheetFormatPr defaultColWidth="11.15625" defaultRowHeight="20.25" customHeight="1" x14ac:dyDescent="0.55000000000000004"/>
  <cols>
    <col min="1" max="1" width="129.68359375" customWidth="1"/>
    <col min="2" max="2" width="3.578125" customWidth="1"/>
  </cols>
  <sheetData>
    <row r="1" spans="1:1" ht="15" customHeight="1" x14ac:dyDescent="0.55000000000000004">
      <c r="A1" s="24" t="s">
        <v>365</v>
      </c>
    </row>
    <row r="2" spans="1:1" ht="100.8" x14ac:dyDescent="3.95">
      <c r="A2" s="27" t="s">
        <v>444</v>
      </c>
    </row>
    <row r="3" spans="1:1" ht="42" x14ac:dyDescent="0.65">
      <c r="A3" s="71" t="s">
        <v>441</v>
      </c>
    </row>
    <row r="4" spans="1:1" ht="264" customHeight="1" x14ac:dyDescent="0.55000000000000004">
      <c r="A4" s="26" t="s">
        <v>366</v>
      </c>
    </row>
    <row r="5" spans="1:1" ht="20.25" customHeight="1" x14ac:dyDescent="0.8">
      <c r="A5" s="25"/>
    </row>
  </sheetData>
  <sheetProtection algorithmName="SHA-512" hashValue="zrjIHxjocImi+6E2kdzh2Q+yR75Dupp3+dIeZB0ie/iWrEpkWvrQqK0OGeHGLyCmCQRM1x1KAiW+T1KcbfX+FQ==" saltValue="1GZUSHDodOq1nzvXulUypA==" spinCount="100000" sheet="1" objects="1" scenarios="1"/>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CC907-4F8F-4DD2-A1C2-2A3563457F0B}">
  <sheetPr codeName="Sheet5"/>
  <dimension ref="A1:H91"/>
  <sheetViews>
    <sheetView showGridLines="0" zoomScaleNormal="100" zoomScalePageLayoutView="125" workbookViewId="0"/>
  </sheetViews>
  <sheetFormatPr defaultColWidth="8.83984375" defaultRowHeight="15" customHeight="1" x14ac:dyDescent="0.55000000000000004"/>
  <cols>
    <col min="1" max="1" width="12.68359375" style="28" customWidth="1"/>
    <col min="2" max="2" width="82.83984375" style="30" customWidth="1"/>
    <col min="3" max="3" width="11.3671875" style="30" customWidth="1"/>
    <col min="4" max="4" width="29" style="30" customWidth="1"/>
    <col min="5" max="5" width="6.3125" style="30" customWidth="1"/>
    <col min="6" max="16384" width="8.83984375" style="30"/>
  </cols>
  <sheetData>
    <row r="1" spans="1:8" ht="60" customHeight="1" x14ac:dyDescent="1.2">
      <c r="A1" s="28" t="s">
        <v>367</v>
      </c>
      <c r="B1" s="29"/>
    </row>
    <row r="2" spans="1:8" ht="15" customHeight="1" x14ac:dyDescent="0.55000000000000004">
      <c r="A2" s="28" t="s">
        <v>368</v>
      </c>
    </row>
    <row r="3" spans="1:8" ht="15" customHeight="1" x14ac:dyDescent="0.6">
      <c r="A3" s="28" t="s">
        <v>369</v>
      </c>
      <c r="B3" s="31"/>
      <c r="C3" s="32"/>
      <c r="D3" s="32" t="s">
        <v>420</v>
      </c>
      <c r="E3" s="32"/>
    </row>
    <row r="4" spans="1:8" ht="15" customHeight="1" x14ac:dyDescent="0.55000000000000004">
      <c r="A4" s="28" t="s">
        <v>372</v>
      </c>
      <c r="C4" s="33"/>
      <c r="D4" s="33"/>
      <c r="E4" s="33"/>
    </row>
    <row r="5" spans="1:8" s="34" customFormat="1" ht="15" customHeight="1" x14ac:dyDescent="0.55000000000000004">
      <c r="A5" s="28" t="s">
        <v>374</v>
      </c>
      <c r="C5" s="38" t="s">
        <v>418</v>
      </c>
      <c r="D5" s="40" t="s">
        <v>419</v>
      </c>
      <c r="E5" s="33"/>
      <c r="F5" s="30"/>
      <c r="G5" s="30"/>
      <c r="H5" s="30"/>
    </row>
    <row r="6" spans="1:8" s="34" customFormat="1" ht="15" customHeight="1" x14ac:dyDescent="0.6">
      <c r="A6" s="28" t="s">
        <v>376</v>
      </c>
      <c r="B6" s="35"/>
      <c r="C6" s="33"/>
      <c r="D6" s="33"/>
      <c r="E6" s="33"/>
      <c r="F6" s="30"/>
      <c r="G6" s="30"/>
      <c r="H6" s="30"/>
    </row>
    <row r="7" spans="1:8" s="34" customFormat="1" ht="15" customHeight="1" x14ac:dyDescent="0.55000000000000004">
      <c r="A7" s="28" t="s">
        <v>378</v>
      </c>
      <c r="C7" s="38" t="s">
        <v>421</v>
      </c>
      <c r="D7" s="41" t="s">
        <v>36</v>
      </c>
      <c r="E7" s="33"/>
      <c r="F7" s="30"/>
      <c r="G7" s="30"/>
      <c r="H7" s="30"/>
    </row>
    <row r="8" spans="1:8" s="34" customFormat="1" ht="15" customHeight="1" x14ac:dyDescent="0.55000000000000004">
      <c r="A8" s="28" t="s">
        <v>380</v>
      </c>
      <c r="C8" s="33"/>
      <c r="D8" s="33"/>
      <c r="E8" s="33"/>
      <c r="F8" s="30"/>
      <c r="G8" s="30"/>
      <c r="H8" s="30"/>
    </row>
    <row r="9" spans="1:8" s="34" customFormat="1" ht="15" customHeight="1" x14ac:dyDescent="0.55000000000000004">
      <c r="A9" s="28" t="s">
        <v>381</v>
      </c>
      <c r="C9" s="38" t="s">
        <v>37</v>
      </c>
      <c r="D9" s="41" t="s">
        <v>36</v>
      </c>
      <c r="E9" s="33"/>
      <c r="F9" s="30"/>
      <c r="G9" s="30"/>
      <c r="H9" s="30"/>
    </row>
    <row r="10" spans="1:8" s="34" customFormat="1" ht="15" customHeight="1" x14ac:dyDescent="0.55000000000000004">
      <c r="A10" s="28" t="s">
        <v>382</v>
      </c>
      <c r="C10" s="33"/>
      <c r="D10" s="33"/>
      <c r="E10" s="33"/>
    </row>
    <row r="11" spans="1:8" s="34" customFormat="1" ht="15" customHeight="1" x14ac:dyDescent="0.55000000000000004">
      <c r="A11" s="28" t="s">
        <v>383</v>
      </c>
    </row>
    <row r="12" spans="1:8" s="34" customFormat="1" ht="15" customHeight="1" x14ac:dyDescent="0.55000000000000004">
      <c r="A12" s="28" t="s">
        <v>384</v>
      </c>
    </row>
    <row r="13" spans="1:8" s="34" customFormat="1" ht="15" customHeight="1" x14ac:dyDescent="0.55000000000000004">
      <c r="A13" s="28" t="s">
        <v>385</v>
      </c>
    </row>
    <row r="14" spans="1:8" s="34" customFormat="1" ht="15" customHeight="1" x14ac:dyDescent="0.55000000000000004">
      <c r="A14" s="28"/>
    </row>
    <row r="15" spans="1:8" s="34" customFormat="1" ht="15" customHeight="1" x14ac:dyDescent="0.55000000000000004">
      <c r="A15" s="28"/>
    </row>
    <row r="16" spans="1:8" s="34" customFormat="1" ht="15" customHeight="1" x14ac:dyDescent="0.55000000000000004">
      <c r="A16" s="28"/>
    </row>
    <row r="17" spans="1:1" s="34" customFormat="1" ht="15" customHeight="1" x14ac:dyDescent="0.55000000000000004">
      <c r="A17" s="28"/>
    </row>
    <row r="18" spans="1:1" s="34" customFormat="1" ht="15" customHeight="1" x14ac:dyDescent="0.55000000000000004">
      <c r="A18" s="28"/>
    </row>
    <row r="19" spans="1:1" s="34" customFormat="1" ht="15" customHeight="1" x14ac:dyDescent="0.55000000000000004">
      <c r="A19" s="28"/>
    </row>
    <row r="20" spans="1:1" s="34" customFormat="1" ht="15" customHeight="1" x14ac:dyDescent="0.55000000000000004">
      <c r="A20" s="28"/>
    </row>
    <row r="21" spans="1:1" s="34" customFormat="1" ht="15" customHeight="1" x14ac:dyDescent="0.55000000000000004">
      <c r="A21" s="28"/>
    </row>
    <row r="22" spans="1:1" s="34" customFormat="1" ht="15" customHeight="1" x14ac:dyDescent="0.55000000000000004">
      <c r="A22" s="28"/>
    </row>
    <row r="23" spans="1:1" s="34" customFormat="1" ht="15" customHeight="1" x14ac:dyDescent="0.55000000000000004">
      <c r="A23" s="28"/>
    </row>
    <row r="24" spans="1:1" s="34" customFormat="1" ht="15" customHeight="1" x14ac:dyDescent="0.55000000000000004">
      <c r="A24" s="28"/>
    </row>
    <row r="27" spans="1:1" ht="15" customHeight="1" x14ac:dyDescent="0.55000000000000004">
      <c r="A27" s="28" t="s">
        <v>386</v>
      </c>
    </row>
    <row r="28" spans="1:1" ht="15" customHeight="1" x14ac:dyDescent="0.55000000000000004">
      <c r="A28" s="28" t="s">
        <v>387</v>
      </c>
    </row>
    <row r="29" spans="1:1" ht="15" customHeight="1" x14ac:dyDescent="0.55000000000000004">
      <c r="A29" s="28" t="s">
        <v>388</v>
      </c>
    </row>
    <row r="30" spans="1:1" ht="15" customHeight="1" x14ac:dyDescent="0.55000000000000004">
      <c r="A30" s="28" t="s">
        <v>389</v>
      </c>
    </row>
    <row r="31" spans="1:1" ht="15" customHeight="1" x14ac:dyDescent="0.55000000000000004">
      <c r="A31" s="28" t="s">
        <v>390</v>
      </c>
    </row>
    <row r="32" spans="1:1" ht="15" customHeight="1" x14ac:dyDescent="0.55000000000000004">
      <c r="A32" s="28" t="s">
        <v>391</v>
      </c>
    </row>
    <row r="33" spans="1:7" ht="15" customHeight="1" x14ac:dyDescent="0.55000000000000004">
      <c r="A33" s="28" t="s">
        <v>392</v>
      </c>
    </row>
    <row r="34" spans="1:7" ht="15" customHeight="1" x14ac:dyDescent="0.55000000000000004">
      <c r="A34" s="28" t="s">
        <v>393</v>
      </c>
    </row>
    <row r="35" spans="1:7" ht="15" customHeight="1" x14ac:dyDescent="0.55000000000000004">
      <c r="A35" s="28" t="s">
        <v>394</v>
      </c>
    </row>
    <row r="36" spans="1:7" ht="15" customHeight="1" x14ac:dyDescent="0.55000000000000004">
      <c r="A36" s="28" t="s">
        <v>395</v>
      </c>
      <c r="F36" s="37"/>
      <c r="G36" s="37"/>
    </row>
    <row r="37" spans="1:7" ht="15" customHeight="1" x14ac:dyDescent="0.55000000000000004">
      <c r="A37" s="28" t="s">
        <v>396</v>
      </c>
      <c r="C37" s="32" t="s">
        <v>370</v>
      </c>
      <c r="D37" s="32" t="s">
        <v>371</v>
      </c>
      <c r="F37" s="37"/>
      <c r="G37" s="37"/>
    </row>
    <row r="38" spans="1:7" ht="15" customHeight="1" x14ac:dyDescent="0.55000000000000004">
      <c r="A38" s="28" t="s">
        <v>397</v>
      </c>
      <c r="C38" s="33" t="s">
        <v>373</v>
      </c>
      <c r="D38" s="33">
        <v>50</v>
      </c>
      <c r="E38" s="34"/>
      <c r="F38" s="37"/>
      <c r="G38" s="37"/>
    </row>
    <row r="39" spans="1:7" ht="15" customHeight="1" x14ac:dyDescent="0.55000000000000004">
      <c r="A39" s="28" t="s">
        <v>398</v>
      </c>
      <c r="C39" s="33" t="s">
        <v>375</v>
      </c>
      <c r="D39" s="33">
        <v>20</v>
      </c>
      <c r="E39" s="34"/>
      <c r="F39" s="37"/>
      <c r="G39" s="37"/>
    </row>
    <row r="40" spans="1:7" ht="15" customHeight="1" x14ac:dyDescent="0.55000000000000004">
      <c r="A40" s="28" t="s">
        <v>399</v>
      </c>
      <c r="C40" s="33" t="s">
        <v>377</v>
      </c>
      <c r="D40" s="33">
        <v>60</v>
      </c>
      <c r="E40" s="34"/>
      <c r="F40" s="37"/>
      <c r="G40" s="37"/>
    </row>
    <row r="41" spans="1:7" ht="15" customHeight="1" x14ac:dyDescent="0.55000000000000004">
      <c r="A41" s="28" t="s">
        <v>400</v>
      </c>
      <c r="C41" s="33" t="s">
        <v>379</v>
      </c>
      <c r="D41" s="33">
        <v>40</v>
      </c>
      <c r="E41" s="34"/>
      <c r="F41" s="37"/>
      <c r="G41" s="37"/>
    </row>
    <row r="42" spans="1:7" ht="15" customHeight="1" x14ac:dyDescent="0.55000000000000004">
      <c r="A42" s="28" t="s">
        <v>401</v>
      </c>
      <c r="C42" s="34"/>
      <c r="D42" s="36">
        <f>SUM(D38:D41)</f>
        <v>170</v>
      </c>
      <c r="E42" s="34"/>
      <c r="F42" s="34"/>
      <c r="G42" s="34"/>
    </row>
    <row r="43" spans="1:7" ht="15" customHeight="1" x14ac:dyDescent="0.55000000000000004">
      <c r="A43" s="28" t="s">
        <v>402</v>
      </c>
    </row>
    <row r="66" spans="1:1" ht="15" customHeight="1" x14ac:dyDescent="0.55000000000000004">
      <c r="A66" s="28" t="s">
        <v>403</v>
      </c>
    </row>
    <row r="67" spans="1:1" ht="15" customHeight="1" x14ac:dyDescent="0.55000000000000004">
      <c r="A67" s="28" t="s">
        <v>404</v>
      </c>
    </row>
    <row r="68" spans="1:1" ht="15" customHeight="1" x14ac:dyDescent="0.55000000000000004">
      <c r="A68" s="28" t="s">
        <v>405</v>
      </c>
    </row>
    <row r="69" spans="1:1" ht="15" customHeight="1" x14ac:dyDescent="0.55000000000000004">
      <c r="A69" s="28" t="s">
        <v>406</v>
      </c>
    </row>
    <row r="70" spans="1:1" ht="15" customHeight="1" x14ac:dyDescent="0.55000000000000004">
      <c r="A70" s="28" t="s">
        <v>407</v>
      </c>
    </row>
    <row r="71" spans="1:1" ht="15" customHeight="1" x14ac:dyDescent="0.55000000000000004">
      <c r="A71" s="28" t="s">
        <v>408</v>
      </c>
    </row>
    <row r="72" spans="1:1" ht="15" customHeight="1" x14ac:dyDescent="0.55000000000000004">
      <c r="A72" s="28" t="s">
        <v>409</v>
      </c>
    </row>
    <row r="73" spans="1:1" ht="15" customHeight="1" x14ac:dyDescent="0.55000000000000004">
      <c r="A73" s="28" t="s">
        <v>410</v>
      </c>
    </row>
    <row r="74" spans="1:1" ht="15" customHeight="1" x14ac:dyDescent="0.55000000000000004">
      <c r="A74" s="28" t="s">
        <v>411</v>
      </c>
    </row>
    <row r="82" spans="1:7" ht="15" customHeight="1" x14ac:dyDescent="0.55000000000000004">
      <c r="C82" s="37"/>
      <c r="D82" s="37"/>
      <c r="E82" s="37"/>
      <c r="F82" s="37"/>
      <c r="G82" s="37"/>
    </row>
    <row r="83" spans="1:7" ht="15" customHeight="1" x14ac:dyDescent="0.55000000000000004">
      <c r="C83" s="37"/>
      <c r="D83" s="37"/>
      <c r="E83" s="37"/>
      <c r="F83" s="37"/>
      <c r="G83" s="37"/>
    </row>
    <row r="84" spans="1:7" ht="15" customHeight="1" x14ac:dyDescent="0.55000000000000004">
      <c r="C84" s="37"/>
      <c r="D84" s="37"/>
      <c r="E84" s="37"/>
      <c r="F84" s="37"/>
      <c r="G84" s="37"/>
    </row>
    <row r="85" spans="1:7" ht="15" customHeight="1" x14ac:dyDescent="0.55000000000000004">
      <c r="C85" s="37"/>
      <c r="D85" s="37"/>
      <c r="E85" s="37"/>
      <c r="F85" s="37"/>
      <c r="G85" s="37"/>
    </row>
    <row r="86" spans="1:7" ht="15" customHeight="1" x14ac:dyDescent="0.55000000000000004">
      <c r="A86" s="28" t="s">
        <v>412</v>
      </c>
      <c r="C86" s="37"/>
      <c r="D86" s="37"/>
      <c r="E86" s="37"/>
      <c r="F86" s="37"/>
      <c r="G86" s="37"/>
    </row>
    <row r="87" spans="1:7" ht="15" customHeight="1" x14ac:dyDescent="0.55000000000000004">
      <c r="A87" s="28" t="s">
        <v>413</v>
      </c>
      <c r="C87" s="37"/>
      <c r="D87" s="37"/>
      <c r="E87" s="37"/>
      <c r="F87" s="37"/>
      <c r="G87" s="37"/>
    </row>
    <row r="88" spans="1:7" ht="15" customHeight="1" x14ac:dyDescent="0.55000000000000004">
      <c r="A88" s="28" t="s">
        <v>414</v>
      </c>
      <c r="C88" s="37"/>
      <c r="D88" s="37"/>
      <c r="E88" s="37"/>
      <c r="F88" s="37"/>
      <c r="G88" s="37"/>
    </row>
    <row r="89" spans="1:7" ht="15" customHeight="1" x14ac:dyDescent="0.55000000000000004">
      <c r="A89" s="28" t="s">
        <v>415</v>
      </c>
      <c r="C89" s="37"/>
      <c r="D89" s="37"/>
      <c r="E89" s="37"/>
      <c r="F89" s="37"/>
      <c r="G89" s="37"/>
    </row>
    <row r="90" spans="1:7" ht="15" customHeight="1" x14ac:dyDescent="0.55000000000000004">
      <c r="A90" s="28" t="s">
        <v>416</v>
      </c>
      <c r="C90" s="37"/>
      <c r="D90" s="37"/>
      <c r="E90" s="37"/>
      <c r="F90" s="37"/>
      <c r="G90" s="37"/>
    </row>
    <row r="91" spans="1:7" ht="15" customHeight="1" x14ac:dyDescent="0.55000000000000004">
      <c r="A91" s="28" t="s">
        <v>417</v>
      </c>
    </row>
  </sheetData>
  <sheetProtection algorithmName="SHA-512" hashValue="7HdaCsrApXIegVwp0UKHfIFpsJdpYGTYL38y214CSzI4B2WqTIFpZ++p8bIvuli8RYQOxjL85dyScrDjQ1b6Og==" saltValue="sJ+24bCj3RB9pgjA3dNNLw==" spinCount="100000" sheet="1" objects="1" scenarios="1"/>
  <hyperlinks>
    <hyperlink ref="A87" r:id="rId1" tooltip="Select to learn all about the SUM function from the web" xr:uid="{5154A375-2DAA-4845-8326-9BC462092EA1}"/>
    <hyperlink ref="A88" r:id="rId2" tooltip="Select to learn all about the SUMIF function from the web" xr:uid="{9FA65EB6-FF58-4C62-97C0-603F88859CA8}"/>
    <hyperlink ref="A89" r:id="rId3" tooltip="Select to learn how to use Excel as a calculator from the web" xr:uid="{3E3FD3F3-DA0E-4A38-8981-77C56DF890FC}"/>
    <hyperlink ref="A90" r:id="rId4" tooltip="Select to learn an overview of Free Excel training online from the web" xr:uid="{858029CE-2286-49C6-9571-4C9F635A4D73}"/>
    <hyperlink ref="A71" location="'10. PivotTables'!A1" tooltip="Select to go to PivotTable worksheet" display="NOTE: If you find you are making a lot of SUMIF formulas, you might find that a PivotTable is a better solution. See the PivotTable worksheet for more information." xr:uid="{BF5C8D63-8AEC-49D0-975E-2671FFFA69FD}"/>
    <hyperlink ref="D5" r:id="rId5" xr:uid="{13653670-59B3-41B8-B3ED-CDA897F7CEAD}"/>
  </hyperlinks>
  <pageMargins left="0.7" right="0.7" top="0.75" bottom="0.75" header="0.3" footer="0.3"/>
  <pageSetup orientation="portrait" r:id="rId6"/>
  <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EE08D-ECF7-465D-82E1-0FDBB0263C53}">
  <sheetPr codeName="Sheet6"/>
  <dimension ref="A1:I67"/>
  <sheetViews>
    <sheetView showGridLines="0" zoomScaleNormal="100" zoomScalePageLayoutView="125" workbookViewId="0"/>
  </sheetViews>
  <sheetFormatPr defaultColWidth="8.83984375" defaultRowHeight="15" customHeight="1" x14ac:dyDescent="0.55000000000000004"/>
  <cols>
    <col min="1" max="1" width="12.68359375" style="42" customWidth="1"/>
    <col min="2" max="2" width="82.83984375" customWidth="1"/>
    <col min="3" max="4" width="8.83984375" style="30"/>
    <col min="5" max="5" width="30.41796875" style="30" customWidth="1"/>
    <col min="6" max="16384" width="8.83984375" style="30"/>
  </cols>
  <sheetData>
    <row r="1" spans="1:9" ht="60" customHeight="1" x14ac:dyDescent="0.55000000000000004">
      <c r="A1" s="42" t="s">
        <v>422</v>
      </c>
      <c r="C1" s="37"/>
      <c r="D1" s="37"/>
      <c r="E1" s="37"/>
      <c r="F1" s="37"/>
      <c r="G1" s="37"/>
      <c r="H1" s="37"/>
      <c r="I1" s="37"/>
    </row>
    <row r="2" spans="1:9" ht="15" customHeight="1" x14ac:dyDescent="0.55000000000000004">
      <c r="A2" s="42" t="s">
        <v>423</v>
      </c>
      <c r="C2" s="37"/>
      <c r="D2" s="37"/>
      <c r="E2" s="37"/>
      <c r="F2" s="37"/>
      <c r="G2" s="37"/>
      <c r="H2" s="37"/>
      <c r="I2" s="37"/>
    </row>
    <row r="3" spans="1:9" ht="15" customHeight="1" x14ac:dyDescent="0.55000000000000004">
      <c r="A3" s="42" t="s">
        <v>424</v>
      </c>
      <c r="C3" s="32" t="s">
        <v>29</v>
      </c>
      <c r="D3" s="32" t="s">
        <v>7</v>
      </c>
      <c r="E3" s="32" t="s">
        <v>6</v>
      </c>
      <c r="F3" s="32" t="s">
        <v>361</v>
      </c>
      <c r="G3" s="32"/>
      <c r="H3" s="37"/>
      <c r="I3" s="37"/>
    </row>
    <row r="4" spans="1:9" ht="15" customHeight="1" x14ac:dyDescent="0.55000000000000004">
      <c r="A4" s="42" t="s">
        <v>425</v>
      </c>
      <c r="C4" s="43">
        <v>1</v>
      </c>
      <c r="D4" s="39" t="s">
        <v>0</v>
      </c>
      <c r="E4" s="38" t="s">
        <v>11</v>
      </c>
      <c r="F4" s="43"/>
      <c r="G4" s="43"/>
      <c r="H4" s="37"/>
      <c r="I4" s="37"/>
    </row>
    <row r="5" spans="1:9" s="34" customFormat="1" ht="15" customHeight="1" x14ac:dyDescent="0.55000000000000004">
      <c r="A5" s="42" t="s">
        <v>426</v>
      </c>
      <c r="B5"/>
      <c r="C5" s="43">
        <v>2</v>
      </c>
      <c r="D5" s="39" t="s">
        <v>8</v>
      </c>
      <c r="E5" s="38" t="s">
        <v>12</v>
      </c>
      <c r="F5" s="43"/>
      <c r="G5" s="43"/>
      <c r="H5" s="37"/>
      <c r="I5" s="37"/>
    </row>
    <row r="6" spans="1:9" s="34" customFormat="1" ht="15" customHeight="1" x14ac:dyDescent="0.55000000000000004">
      <c r="A6" s="42" t="s">
        <v>427</v>
      </c>
      <c r="B6"/>
      <c r="C6" s="43"/>
      <c r="D6" s="43"/>
      <c r="E6" s="33"/>
      <c r="F6" s="43"/>
      <c r="G6" s="43"/>
      <c r="H6" s="37"/>
      <c r="I6" s="37"/>
    </row>
    <row r="7" spans="1:9" s="34" customFormat="1" ht="15" customHeight="1" x14ac:dyDescent="0.55000000000000004">
      <c r="A7" s="42" t="s">
        <v>428</v>
      </c>
      <c r="B7"/>
      <c r="C7"/>
      <c r="D7"/>
      <c r="E7"/>
      <c r="F7"/>
      <c r="G7"/>
      <c r="H7"/>
      <c r="I7" s="37"/>
    </row>
    <row r="8" spans="1:9" s="34" customFormat="1" ht="15" customHeight="1" x14ac:dyDescent="0.55000000000000004">
      <c r="A8" s="42" t="s">
        <v>429</v>
      </c>
      <c r="B8"/>
      <c r="C8" s="37"/>
      <c r="D8" s="37"/>
      <c r="E8" s="37"/>
      <c r="F8" s="37"/>
      <c r="G8" s="37"/>
      <c r="H8" s="37"/>
      <c r="I8" s="37"/>
    </row>
    <row r="9" spans="1:9" s="34" customFormat="1" ht="15" customHeight="1" x14ac:dyDescent="0.55000000000000004">
      <c r="A9" s="42" t="s">
        <v>428</v>
      </c>
      <c r="B9"/>
      <c r="H9" s="37"/>
      <c r="I9" s="37"/>
    </row>
    <row r="10" spans="1:9" s="34" customFormat="1" ht="15" customHeight="1" x14ac:dyDescent="0.55000000000000004">
      <c r="A10" s="42" t="s">
        <v>429</v>
      </c>
      <c r="B10"/>
      <c r="C10" s="37"/>
      <c r="D10" s="37"/>
      <c r="E10" s="37"/>
      <c r="F10" s="37"/>
      <c r="G10" s="37"/>
      <c r="H10" s="37"/>
      <c r="I10" s="37"/>
    </row>
    <row r="11" spans="1:9" s="34" customFormat="1" ht="15" customHeight="1" x14ac:dyDescent="0.55000000000000004">
      <c r="A11" s="42" t="s">
        <v>428</v>
      </c>
      <c r="B11"/>
      <c r="H11" s="37"/>
      <c r="I11" s="37"/>
    </row>
    <row r="12" spans="1:9" s="34" customFormat="1" ht="15" customHeight="1" x14ac:dyDescent="0.55000000000000004">
      <c r="A12" s="42" t="s">
        <v>429</v>
      </c>
      <c r="B12"/>
      <c r="C12" s="37"/>
      <c r="D12" s="37"/>
      <c r="E12" s="37"/>
      <c r="F12" s="37"/>
      <c r="G12" s="37"/>
      <c r="H12" s="37"/>
      <c r="I12" s="37"/>
    </row>
    <row r="13" spans="1:9" s="34" customFormat="1" ht="15" customHeight="1" x14ac:dyDescent="0.55000000000000004">
      <c r="A13" s="42" t="s">
        <v>428</v>
      </c>
      <c r="B13"/>
      <c r="H13" s="37"/>
      <c r="I13" s="37"/>
    </row>
    <row r="14" spans="1:9" s="34" customFormat="1" ht="15" customHeight="1" x14ac:dyDescent="0.55000000000000004">
      <c r="A14" s="42"/>
      <c r="B14"/>
      <c r="C14" s="44" t="s">
        <v>364</v>
      </c>
      <c r="D14" s="44"/>
      <c r="E14" s="38"/>
      <c r="F14" s="43"/>
      <c r="G14" s="43"/>
      <c r="H14" s="37"/>
      <c r="I14" s="37"/>
    </row>
    <row r="15" spans="1:9" s="34" customFormat="1" ht="15" customHeight="1" x14ac:dyDescent="0.55000000000000004">
      <c r="A15" s="42"/>
      <c r="B15"/>
      <c r="C15" s="44" t="s">
        <v>364</v>
      </c>
      <c r="D15" s="39" t="s">
        <v>72</v>
      </c>
      <c r="E15" s="38"/>
      <c r="F15" s="43"/>
      <c r="G15" s="43"/>
      <c r="H15" s="37"/>
      <c r="I15" s="37"/>
    </row>
    <row r="16" spans="1:9" s="34" customFormat="1" ht="15" customHeight="1" x14ac:dyDescent="0.55000000000000004">
      <c r="A16" s="42"/>
      <c r="B16"/>
      <c r="C16" s="37"/>
      <c r="D16" s="37"/>
      <c r="E16" s="37"/>
      <c r="F16" s="37"/>
      <c r="G16" s="37"/>
      <c r="H16" s="37"/>
      <c r="I16" s="37"/>
    </row>
    <row r="17" spans="1:9" s="34" customFormat="1" ht="15" customHeight="1" x14ac:dyDescent="0.55000000000000004">
      <c r="A17" s="42"/>
      <c r="B17"/>
      <c r="H17" s="37"/>
      <c r="I17" s="37"/>
    </row>
    <row r="18" spans="1:9" s="34" customFormat="1" ht="15" customHeight="1" x14ac:dyDescent="0.55000000000000004">
      <c r="A18" s="42"/>
      <c r="B18"/>
      <c r="C18" s="37"/>
      <c r="D18" s="37"/>
      <c r="E18" s="37"/>
      <c r="F18" s="37"/>
      <c r="G18" s="37"/>
      <c r="H18" s="37"/>
      <c r="I18" s="37"/>
    </row>
    <row r="19" spans="1:9" s="34" customFormat="1" ht="15" customHeight="1" x14ac:dyDescent="0.55000000000000004">
      <c r="A19" s="42"/>
      <c r="B19"/>
      <c r="C19" s="37"/>
      <c r="D19" s="37"/>
      <c r="E19" s="37"/>
      <c r="F19" s="37"/>
      <c r="G19" s="37"/>
      <c r="H19" s="37"/>
      <c r="I19" s="37"/>
    </row>
    <row r="20" spans="1:9" s="34" customFormat="1" ht="15" customHeight="1" x14ac:dyDescent="0.55000000000000004">
      <c r="A20" s="42"/>
      <c r="B20"/>
      <c r="H20" s="37"/>
      <c r="I20" s="37"/>
    </row>
    <row r="21" spans="1:9" s="34" customFormat="1" ht="15" customHeight="1" x14ac:dyDescent="0.55000000000000004">
      <c r="A21" s="42"/>
      <c r="B21"/>
      <c r="C21" s="68" t="s">
        <v>442</v>
      </c>
      <c r="D21" s="37"/>
      <c r="E21" s="70" t="s">
        <v>45</v>
      </c>
      <c r="F21" s="69" t="s">
        <v>443</v>
      </c>
      <c r="G21" s="37"/>
      <c r="H21" s="37"/>
      <c r="I21" s="37"/>
    </row>
    <row r="22" spans="1:9" s="34" customFormat="1" ht="15" customHeight="1" x14ac:dyDescent="0.55000000000000004">
      <c r="A22" s="42"/>
      <c r="B22"/>
    </row>
    <row r="23" spans="1:9" s="34" customFormat="1" ht="15" customHeight="1" x14ac:dyDescent="0.55000000000000004">
      <c r="A23" s="42"/>
      <c r="B23"/>
    </row>
    <row r="24" spans="1:9" s="34" customFormat="1" ht="15" customHeight="1" x14ac:dyDescent="0.55000000000000004">
      <c r="A24" s="42"/>
      <c r="B24"/>
    </row>
    <row r="27" spans="1:9" ht="15" customHeight="1" x14ac:dyDescent="0.55000000000000004">
      <c r="A27" s="42" t="s">
        <v>430</v>
      </c>
    </row>
    <row r="28" spans="1:9" ht="15" customHeight="1" x14ac:dyDescent="0.55000000000000004">
      <c r="A28" s="42" t="s">
        <v>431</v>
      </c>
    </row>
    <row r="29" spans="1:9" ht="15" customHeight="1" x14ac:dyDescent="0.55000000000000004">
      <c r="A29" s="42" t="s">
        <v>432</v>
      </c>
    </row>
    <row r="30" spans="1:9" ht="15" customHeight="1" x14ac:dyDescent="0.55000000000000004">
      <c r="A30" s="42" t="s">
        <v>433</v>
      </c>
      <c r="F30" s="72"/>
      <c r="G30" s="72"/>
    </row>
    <row r="31" spans="1:9" ht="15" customHeight="1" x14ac:dyDescent="0.55000000000000004">
      <c r="A31" s="42" t="s">
        <v>434</v>
      </c>
      <c r="C31"/>
      <c r="D31"/>
      <c r="E31"/>
      <c r="F31"/>
      <c r="G31"/>
    </row>
    <row r="32" spans="1:9" ht="15" customHeight="1" x14ac:dyDescent="0.55000000000000004">
      <c r="C32"/>
      <c r="D32"/>
      <c r="E32"/>
      <c r="F32"/>
      <c r="G32"/>
    </row>
    <row r="33" spans="3:9" ht="15" customHeight="1" x14ac:dyDescent="0.55000000000000004">
      <c r="C33"/>
      <c r="D33"/>
      <c r="E33"/>
      <c r="F33"/>
      <c r="G33"/>
      <c r="H33" s="37"/>
      <c r="I33" s="37"/>
    </row>
    <row r="34" spans="3:9" ht="15" customHeight="1" x14ac:dyDescent="0.55000000000000004">
      <c r="C34"/>
      <c r="D34"/>
      <c r="E34"/>
      <c r="F34"/>
      <c r="G34"/>
      <c r="H34" s="37"/>
      <c r="I34" s="37"/>
    </row>
    <row r="35" spans="3:9" ht="15" customHeight="1" x14ac:dyDescent="0.55000000000000004">
      <c r="C35"/>
      <c r="D35"/>
      <c r="E35"/>
      <c r="F35"/>
      <c r="H35" s="37"/>
      <c r="I35" s="37"/>
    </row>
    <row r="36" spans="3:9" ht="15" customHeight="1" x14ac:dyDescent="0.55000000000000004">
      <c r="C36"/>
      <c r="D36"/>
      <c r="F36"/>
      <c r="G36"/>
      <c r="H36" s="37"/>
      <c r="I36" s="37"/>
    </row>
    <row r="37" spans="3:9" ht="15" customHeight="1" x14ac:dyDescent="0.55000000000000004">
      <c r="C37"/>
      <c r="D37"/>
      <c r="E37"/>
      <c r="F37"/>
      <c r="G37"/>
      <c r="H37" s="37"/>
      <c r="I37" s="37"/>
    </row>
    <row r="38" spans="3:9" ht="15" customHeight="1" x14ac:dyDescent="0.55000000000000004">
      <c r="C38"/>
      <c r="D38"/>
      <c r="E38"/>
      <c r="F38"/>
      <c r="G38"/>
      <c r="H38" s="37"/>
      <c r="I38" s="37"/>
    </row>
    <row r="39" spans="3:9" ht="15" customHeight="1" x14ac:dyDescent="0.55000000000000004">
      <c r="C39" s="37"/>
      <c r="D39" s="37"/>
      <c r="E39" s="37"/>
      <c r="F39" s="37"/>
      <c r="G39" s="37"/>
      <c r="H39" s="37"/>
      <c r="I39" s="37"/>
    </row>
    <row r="40" spans="3:9" ht="15" customHeight="1" x14ac:dyDescent="0.55000000000000004">
      <c r="C40" s="37"/>
      <c r="D40" s="37"/>
      <c r="E40" s="37"/>
      <c r="F40" s="37"/>
      <c r="G40" s="37"/>
      <c r="H40" s="37"/>
      <c r="I40" s="37"/>
    </row>
    <row r="41" spans="3:9" ht="15" customHeight="1" x14ac:dyDescent="0.55000000000000004">
      <c r="C41" s="37"/>
      <c r="D41" s="37"/>
      <c r="E41" s="37"/>
      <c r="F41" s="37"/>
      <c r="G41" s="37"/>
      <c r="H41" s="37"/>
      <c r="I41" s="37"/>
    </row>
    <row r="42" spans="3:9" ht="15" customHeight="1" x14ac:dyDescent="0.55000000000000004">
      <c r="C42" s="37"/>
      <c r="D42" s="37"/>
      <c r="E42" s="37"/>
      <c r="F42" s="37"/>
      <c r="G42" s="37"/>
      <c r="H42" s="37"/>
      <c r="I42" s="37"/>
    </row>
    <row r="43" spans="3:9" ht="15" customHeight="1" x14ac:dyDescent="0.55000000000000004">
      <c r="C43" s="37"/>
      <c r="D43" s="37"/>
      <c r="E43" s="37"/>
      <c r="F43" s="37"/>
      <c r="G43" s="37"/>
      <c r="H43" s="37"/>
      <c r="I43" s="37"/>
    </row>
    <row r="44" spans="3:9" ht="15" customHeight="1" x14ac:dyDescent="0.55000000000000004">
      <c r="C44" s="37"/>
      <c r="D44" s="37"/>
      <c r="E44" s="37"/>
      <c r="F44" s="37"/>
      <c r="G44" s="37"/>
      <c r="H44" s="37"/>
      <c r="I44" s="37"/>
    </row>
    <row r="45" spans="3:9" ht="15" customHeight="1" x14ac:dyDescent="0.55000000000000004">
      <c r="C45" s="37"/>
      <c r="D45" s="37"/>
      <c r="E45" s="37"/>
      <c r="F45" s="37"/>
      <c r="G45" s="37"/>
      <c r="H45" s="37"/>
      <c r="I45" s="37"/>
    </row>
    <row r="46" spans="3:9" ht="15" customHeight="1" x14ac:dyDescent="0.55000000000000004">
      <c r="C46" s="37"/>
      <c r="D46" s="37"/>
      <c r="E46" s="37"/>
      <c r="F46" s="37"/>
      <c r="G46" s="37"/>
      <c r="H46" s="37"/>
      <c r="I46" s="37"/>
    </row>
    <row r="47" spans="3:9" ht="15" customHeight="1" x14ac:dyDescent="0.55000000000000004">
      <c r="C47" s="37"/>
      <c r="D47" s="37"/>
      <c r="E47" s="37"/>
      <c r="F47" s="37"/>
      <c r="G47" s="37"/>
      <c r="H47" s="37"/>
      <c r="I47" s="37"/>
    </row>
    <row r="48" spans="3:9" ht="15" customHeight="1" x14ac:dyDescent="0.55000000000000004">
      <c r="C48" s="37"/>
      <c r="D48" s="37"/>
      <c r="E48" s="37"/>
      <c r="F48" s="37"/>
      <c r="G48" s="37"/>
      <c r="H48" s="37"/>
      <c r="I48" s="37"/>
    </row>
    <row r="49" spans="1:9" ht="15" customHeight="1" x14ac:dyDescent="0.55000000000000004">
      <c r="C49" s="37"/>
      <c r="D49" s="37"/>
      <c r="E49" s="37"/>
      <c r="F49" s="37"/>
      <c r="G49" s="37"/>
      <c r="H49" s="37"/>
      <c r="I49" s="37"/>
    </row>
    <row r="50" spans="1:9" ht="15" customHeight="1" x14ac:dyDescent="0.55000000000000004">
      <c r="C50" s="37"/>
      <c r="D50" s="37"/>
      <c r="E50" s="37"/>
      <c r="F50" s="37"/>
      <c r="G50" s="37"/>
      <c r="H50" s="37"/>
      <c r="I50" s="37"/>
    </row>
    <row r="51" spans="1:9" ht="15" customHeight="1" x14ac:dyDescent="0.55000000000000004">
      <c r="C51" s="37"/>
      <c r="D51" s="37"/>
      <c r="E51" s="37"/>
      <c r="F51" s="37"/>
      <c r="G51" s="37"/>
      <c r="H51" s="37"/>
      <c r="I51" s="37"/>
    </row>
    <row r="52" spans="1:9" ht="15" customHeight="1" x14ac:dyDescent="0.55000000000000004">
      <c r="C52" s="37"/>
      <c r="D52" s="37"/>
      <c r="E52" s="37"/>
      <c r="F52" s="37"/>
      <c r="G52" s="37"/>
      <c r="H52" s="37"/>
      <c r="I52" s="37"/>
    </row>
    <row r="53" spans="1:9" ht="15" customHeight="1" x14ac:dyDescent="0.55000000000000004">
      <c r="C53" s="37"/>
      <c r="D53" s="37"/>
      <c r="E53" s="37"/>
      <c r="F53" s="37"/>
      <c r="G53" s="37"/>
      <c r="H53" s="37"/>
      <c r="I53" s="37"/>
    </row>
    <row r="54" spans="1:9" ht="15" customHeight="1" x14ac:dyDescent="0.55000000000000004">
      <c r="C54" s="37"/>
      <c r="D54" s="37"/>
      <c r="E54" s="37"/>
      <c r="F54" s="37"/>
      <c r="G54" s="37"/>
      <c r="H54" s="37"/>
      <c r="I54" s="37"/>
    </row>
    <row r="55" spans="1:9" ht="15" customHeight="1" x14ac:dyDescent="0.55000000000000004">
      <c r="C55" s="37"/>
      <c r="D55" s="37"/>
      <c r="E55" s="37"/>
      <c r="F55" s="37"/>
      <c r="G55" s="37"/>
      <c r="H55" s="37"/>
      <c r="I55" s="37"/>
    </row>
    <row r="56" spans="1:9" ht="15" customHeight="1" x14ac:dyDescent="0.55000000000000004">
      <c r="C56" s="37"/>
      <c r="D56" s="37"/>
      <c r="E56" s="37"/>
      <c r="F56" s="37"/>
      <c r="G56" s="37"/>
      <c r="H56" s="37"/>
      <c r="I56" s="37"/>
    </row>
    <row r="57" spans="1:9" ht="15" customHeight="1" x14ac:dyDescent="0.55000000000000004">
      <c r="C57" s="37"/>
      <c r="D57" s="37"/>
      <c r="E57" s="37"/>
      <c r="F57" s="37"/>
      <c r="G57" s="37"/>
      <c r="H57" s="37"/>
      <c r="I57" s="37"/>
    </row>
    <row r="59" spans="1:9" ht="15" customHeight="1" x14ac:dyDescent="0.55000000000000004">
      <c r="C59"/>
      <c r="D59"/>
      <c r="E59"/>
      <c r="F59"/>
      <c r="G59"/>
      <c r="H59"/>
      <c r="I59"/>
    </row>
    <row r="60" spans="1:9" ht="15" customHeight="1" x14ac:dyDescent="0.55000000000000004">
      <c r="C60"/>
      <c r="D60"/>
      <c r="E60"/>
      <c r="F60"/>
      <c r="G60"/>
      <c r="H60"/>
      <c r="I60"/>
    </row>
    <row r="61" spans="1:9" ht="15" customHeight="1" x14ac:dyDescent="0.55000000000000004">
      <c r="C61"/>
      <c r="D61"/>
      <c r="E61"/>
      <c r="F61"/>
      <c r="G61"/>
      <c r="H61"/>
      <c r="I61"/>
    </row>
    <row r="64" spans="1:9" ht="15" customHeight="1" x14ac:dyDescent="0.55000000000000004">
      <c r="A64" s="42" t="s">
        <v>412</v>
      </c>
    </row>
    <row r="65" spans="1:1" ht="15" customHeight="1" x14ac:dyDescent="0.55000000000000004">
      <c r="A65" s="28" t="s">
        <v>435</v>
      </c>
    </row>
    <row r="66" spans="1:1" ht="15" customHeight="1" x14ac:dyDescent="0.55000000000000004">
      <c r="A66" s="28" t="s">
        <v>436</v>
      </c>
    </row>
    <row r="67" spans="1:1" ht="15" customHeight="1" x14ac:dyDescent="0.55000000000000004">
      <c r="A67" s="42" t="s">
        <v>417</v>
      </c>
    </row>
  </sheetData>
  <sheetProtection algorithmName="SHA-512" hashValue="RSbuI5nhIo4tEtGowmaYExEX0enaCYdar8UCG1WEKff+z/qre8nO60m4zXkOh3GGy3HPK2XOEvmwQ+XGZauaew==" saltValue="zA5Mz9Mgo7gP3O3y7gZ+DQ==" spinCount="100000" sheet="1" objects="1" scenarios="1"/>
  <mergeCells count="1">
    <mergeCell ref="F30:G30"/>
  </mergeCells>
  <dataValidations count="1">
    <dataValidation type="list" allowBlank="1" showInputMessage="1" showErrorMessage="1" sqref="E21" xr:uid="{E31855BF-AF7E-4817-A185-6DE880369C7D}">
      <formula1>Types</formula1>
    </dataValidation>
  </dataValidations>
  <hyperlinks>
    <hyperlink ref="A65" r:id="rId1" tooltip="Select to learn about filling data automatically in worksheet cells from the web" xr:uid="{B2352D39-8929-4194-8218-96CB55B70BBF}"/>
    <hyperlink ref="A66" r:id="rId2" tooltip="Select to learn about filling a formula down into adjacent cells from the web" xr:uid="{268D4330-A1BC-4216-891E-AD161B8222F2}"/>
  </hyperlinks>
  <pageMargins left="0.7" right="0.7" top="0.75" bottom="0.75" header="0.3" footer="0.3"/>
  <pageSetup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6E6AB-431E-4BEB-A563-EA9C9E6B69F1}">
  <sheetPr codeName="Sheet2">
    <tabColor rgb="FF00B050"/>
  </sheetPr>
  <dimension ref="B1:R51"/>
  <sheetViews>
    <sheetView showGridLines="0" tabSelected="1" workbookViewId="0">
      <selection activeCell="D22" sqref="D22"/>
    </sheetView>
  </sheetViews>
  <sheetFormatPr defaultRowHeight="14.4" x14ac:dyDescent="0.55000000000000004"/>
  <cols>
    <col min="1" max="1" width="12.26171875" customWidth="1"/>
    <col min="2" max="2" width="7.05078125" customWidth="1"/>
    <col min="3" max="3" width="0.3671875" customWidth="1"/>
    <col min="4" max="4" width="20.578125" customWidth="1"/>
    <col min="5" max="5" width="38" customWidth="1"/>
    <col min="6" max="7" width="14.578125" customWidth="1"/>
    <col min="8" max="8" width="20.578125" customWidth="1"/>
    <col min="13" max="13" width="65.734375" customWidth="1"/>
    <col min="15" max="15" width="10.1015625" customWidth="1"/>
    <col min="16" max="16" width="31" customWidth="1"/>
  </cols>
  <sheetData>
    <row r="1" spans="2:18" ht="14.7" thickBot="1" x14ac:dyDescent="0.6">
      <c r="O1" t="s">
        <v>34</v>
      </c>
      <c r="P1" s="20" t="str">
        <f>'1. Add'!D5</f>
        <v>http://localhost:8443</v>
      </c>
    </row>
    <row r="2" spans="2:18" ht="14.7" thickBot="1" x14ac:dyDescent="0.6">
      <c r="O2" t="s">
        <v>35</v>
      </c>
      <c r="P2" s="21" t="str">
        <f>'1. Add'!D7</f>
        <v>isadmin</v>
      </c>
      <c r="Q2" t="s">
        <v>37</v>
      </c>
      <c r="R2" s="21" t="str">
        <f>'1. Add'!D9</f>
        <v>isadmin</v>
      </c>
    </row>
    <row r="3" spans="2:18" ht="39.9" customHeight="1" x14ac:dyDescent="1.35">
      <c r="B3" s="73" t="s">
        <v>439</v>
      </c>
      <c r="C3" s="73"/>
      <c r="D3" s="73"/>
      <c r="E3" s="73"/>
      <c r="F3" s="73"/>
      <c r="G3" s="73"/>
      <c r="H3" s="73"/>
    </row>
    <row r="4" spans="2:18" x14ac:dyDescent="0.55000000000000004">
      <c r="B4" s="6"/>
      <c r="C4" s="7"/>
      <c r="D4" s="7"/>
      <c r="E4" s="7"/>
      <c r="F4" s="7"/>
      <c r="G4" s="7"/>
      <c r="H4" s="7"/>
    </row>
    <row r="5" spans="2:18" x14ac:dyDescent="0.55000000000000004">
      <c r="B5" s="60"/>
      <c r="C5" s="60"/>
      <c r="D5" s="60" t="s">
        <v>7</v>
      </c>
      <c r="E5" s="60" t="s">
        <v>6</v>
      </c>
      <c r="F5" s="61" t="s">
        <v>437</v>
      </c>
      <c r="G5" s="61" t="s">
        <v>438</v>
      </c>
      <c r="H5" s="61" t="s">
        <v>440</v>
      </c>
      <c r="O5" t="s">
        <v>32</v>
      </c>
      <c r="P5" t="s">
        <v>33</v>
      </c>
    </row>
    <row r="6" spans="2:18" ht="16" customHeight="1" x14ac:dyDescent="0.55000000000000004">
      <c r="B6" s="16"/>
      <c r="C6" s="10"/>
      <c r="D6" s="64" t="s">
        <v>0</v>
      </c>
      <c r="E6" s="45" t="s">
        <v>11</v>
      </c>
      <c r="F6" s="49">
        <v>1107</v>
      </c>
      <c r="G6" s="49">
        <v>3000</v>
      </c>
      <c r="H6" s="50">
        <f>F6-G6</f>
        <v>-1893</v>
      </c>
      <c r="J6" s="9"/>
      <c r="O6" s="22">
        <v>200</v>
      </c>
      <c r="P6" s="22" t="s">
        <v>3</v>
      </c>
    </row>
    <row r="7" spans="2:18" ht="16" customHeight="1" x14ac:dyDescent="0.55000000000000004">
      <c r="B7" s="14"/>
      <c r="C7" s="15"/>
      <c r="D7" s="65" t="s">
        <v>8</v>
      </c>
      <c r="E7" s="46" t="s">
        <v>12</v>
      </c>
      <c r="F7" s="51">
        <v>14</v>
      </c>
      <c r="G7" s="51">
        <v>10</v>
      </c>
      <c r="H7" s="50">
        <f>F7-G7</f>
        <v>4</v>
      </c>
      <c r="O7" s="22">
        <v>200</v>
      </c>
      <c r="P7" s="22" t="s">
        <v>16</v>
      </c>
    </row>
    <row r="8" spans="2:18" ht="16" customHeight="1" thickBot="1" x14ac:dyDescent="0.75">
      <c r="B8" s="15"/>
      <c r="C8" s="62"/>
      <c r="D8" s="47"/>
      <c r="E8" s="48" t="s">
        <v>13</v>
      </c>
      <c r="F8" s="52">
        <f>SUM(F6:F7)</f>
        <v>1121</v>
      </c>
      <c r="G8" s="52">
        <f>SUM(G6:G7)</f>
        <v>3010</v>
      </c>
      <c r="H8" s="52">
        <f>SUM(H6:H7)</f>
        <v>-1889</v>
      </c>
    </row>
    <row r="9" spans="2:18" ht="16" customHeight="1" x14ac:dyDescent="0.55000000000000004">
      <c r="B9" s="14"/>
      <c r="C9" s="15"/>
      <c r="D9" s="65" t="s">
        <v>10</v>
      </c>
      <c r="E9" s="46" t="s">
        <v>15</v>
      </c>
      <c r="F9" s="49">
        <v>6</v>
      </c>
      <c r="G9" s="49">
        <v>6</v>
      </c>
      <c r="H9" s="50">
        <f>F9-G9</f>
        <v>0</v>
      </c>
      <c r="O9" s="22">
        <v>200</v>
      </c>
      <c r="P9" s="22" t="s">
        <v>18</v>
      </c>
    </row>
    <row r="10" spans="2:18" ht="16" customHeight="1" x14ac:dyDescent="0.55000000000000004">
      <c r="B10" s="14"/>
      <c r="C10" s="15"/>
      <c r="D10" s="65" t="s">
        <v>9</v>
      </c>
      <c r="E10" s="46" t="s">
        <v>14</v>
      </c>
      <c r="F10" s="53">
        <v>4</v>
      </c>
      <c r="G10" s="53">
        <v>120</v>
      </c>
      <c r="H10" s="50">
        <f t="shared" ref="H10:H18" si="0">F10-G10</f>
        <v>-116</v>
      </c>
      <c r="O10" s="22">
        <v>200</v>
      </c>
      <c r="P10" s="22" t="s">
        <v>17</v>
      </c>
    </row>
    <row r="11" spans="2:18" ht="16" customHeight="1" x14ac:dyDescent="0.55000000000000004">
      <c r="B11" s="14"/>
      <c r="C11" s="15"/>
      <c r="D11" s="65" t="s">
        <v>21</v>
      </c>
      <c r="E11" s="46" t="s">
        <v>20</v>
      </c>
      <c r="F11" s="53">
        <v>2</v>
      </c>
      <c r="G11" s="53">
        <v>5000</v>
      </c>
      <c r="H11" s="50">
        <f t="shared" si="0"/>
        <v>-4998</v>
      </c>
      <c r="O11" s="22">
        <v>200</v>
      </c>
      <c r="P11" s="22" t="s">
        <v>27</v>
      </c>
    </row>
    <row r="12" spans="2:18" ht="16" customHeight="1" x14ac:dyDescent="0.55000000000000004">
      <c r="B12" s="14"/>
      <c r="C12" s="15"/>
      <c r="D12" s="65" t="s">
        <v>23</v>
      </c>
      <c r="E12" s="46" t="s">
        <v>22</v>
      </c>
      <c r="F12" s="53">
        <v>2</v>
      </c>
      <c r="G12" s="53">
        <v>4</v>
      </c>
      <c r="H12" s="50">
        <f t="shared" si="0"/>
        <v>-2</v>
      </c>
      <c r="O12" s="22">
        <v>200</v>
      </c>
      <c r="P12" s="22" t="s">
        <v>30</v>
      </c>
    </row>
    <row r="13" spans="2:18" ht="16" customHeight="1" x14ac:dyDescent="0.55000000000000004">
      <c r="B13" s="14"/>
      <c r="C13" s="15"/>
      <c r="D13" s="65" t="s">
        <v>25</v>
      </c>
      <c r="E13" s="46" t="s">
        <v>24</v>
      </c>
      <c r="F13" s="53">
        <v>2</v>
      </c>
      <c r="G13" s="53">
        <v>5</v>
      </c>
      <c r="H13" s="50">
        <f t="shared" si="0"/>
        <v>-3</v>
      </c>
      <c r="O13" s="22">
        <v>200</v>
      </c>
      <c r="P13" s="22" t="s">
        <v>31</v>
      </c>
    </row>
    <row r="14" spans="2:18" ht="16" customHeight="1" x14ac:dyDescent="0.55000000000000004">
      <c r="B14" s="14"/>
      <c r="C14" s="15"/>
      <c r="D14" s="65" t="s">
        <v>19</v>
      </c>
      <c r="E14" s="46" t="s">
        <v>26</v>
      </c>
      <c r="F14" s="53">
        <v>5</v>
      </c>
      <c r="G14" s="53">
        <v>20</v>
      </c>
      <c r="H14" s="50">
        <f t="shared" si="0"/>
        <v>-15</v>
      </c>
      <c r="O14" s="22">
        <v>200</v>
      </c>
      <c r="P14" s="22" t="s">
        <v>4</v>
      </c>
    </row>
    <row r="15" spans="2:18" ht="16" customHeight="1" x14ac:dyDescent="0.55000000000000004">
      <c r="B15" s="17"/>
      <c r="C15" s="17"/>
      <c r="D15" s="46" t="s">
        <v>2</v>
      </c>
      <c r="E15" s="46" t="s">
        <v>5</v>
      </c>
      <c r="F15" s="53">
        <v>5</v>
      </c>
      <c r="G15" s="53">
        <v>35</v>
      </c>
      <c r="H15" s="50">
        <f t="shared" si="0"/>
        <v>-30</v>
      </c>
      <c r="O15" s="22">
        <v>200</v>
      </c>
      <c r="P15" s="22" t="s">
        <v>4</v>
      </c>
    </row>
    <row r="16" spans="2:18" ht="16" customHeight="1" x14ac:dyDescent="0.55000000000000004">
      <c r="B16" s="23" t="s">
        <v>364</v>
      </c>
      <c r="C16" s="63"/>
      <c r="D16" s="66" t="s">
        <v>72</v>
      </c>
      <c r="E16" s="66" t="str">
        <f>D16</f>
        <v>bi_folder</v>
      </c>
      <c r="F16" s="54">
        <v>19</v>
      </c>
      <c r="G16" s="54">
        <v>1</v>
      </c>
      <c r="H16" s="50">
        <f t="shared" si="0"/>
        <v>18</v>
      </c>
      <c r="O16" s="22">
        <v>200</v>
      </c>
      <c r="P16" s="22" t="s">
        <v>362</v>
      </c>
    </row>
    <row r="17" spans="2:16" ht="16" customHeight="1" x14ac:dyDescent="0.55000000000000004">
      <c r="B17" s="23" t="s">
        <v>364</v>
      </c>
      <c r="C17" s="63"/>
      <c r="D17" s="66" t="s">
        <v>73</v>
      </c>
      <c r="E17" s="66" t="str">
        <f t="shared" ref="E17" si="1">D17</f>
        <v>bi_hierarchy</v>
      </c>
      <c r="F17" s="54">
        <v>0</v>
      </c>
      <c r="G17" s="54">
        <v>1</v>
      </c>
      <c r="H17" s="50">
        <f t="shared" si="0"/>
        <v>-1</v>
      </c>
      <c r="O17" s="22">
        <v>200</v>
      </c>
      <c r="P17" s="22" t="s">
        <v>359</v>
      </c>
    </row>
    <row r="18" spans="2:16" ht="16" customHeight="1" x14ac:dyDescent="0.55000000000000004">
      <c r="B18" s="23" t="s">
        <v>364</v>
      </c>
      <c r="C18" s="63"/>
      <c r="D18" s="66" t="s">
        <v>76</v>
      </c>
      <c r="E18" s="67" t="str">
        <f>D18</f>
        <v>bi_model</v>
      </c>
      <c r="F18" s="55">
        <v>2</v>
      </c>
      <c r="G18" s="55">
        <v>1</v>
      </c>
      <c r="H18" s="50">
        <f t="shared" si="0"/>
        <v>1</v>
      </c>
      <c r="I18" s="9"/>
      <c r="O18" s="22">
        <v>200</v>
      </c>
      <c r="P18" s="22" t="s">
        <v>360</v>
      </c>
    </row>
    <row r="19" spans="2:16" ht="16" customHeight="1" thickBot="1" x14ac:dyDescent="0.6">
      <c r="B19" s="8"/>
      <c r="C19" s="9"/>
      <c r="D19" s="18"/>
      <c r="E19" s="59" t="s">
        <v>28</v>
      </c>
      <c r="F19" s="56">
        <f>SUM(F8:F18)</f>
        <v>1168</v>
      </c>
      <c r="G19" s="57">
        <f t="shared" ref="G19:H19" si="2">SUM(G8:G15)</f>
        <v>8200</v>
      </c>
      <c r="H19" s="58">
        <f t="shared" si="2"/>
        <v>-7053</v>
      </c>
      <c r="I19" s="8"/>
      <c r="P19" s="3" t="s">
        <v>1</v>
      </c>
    </row>
    <row r="20" spans="2:16" ht="16" customHeight="1" x14ac:dyDescent="0.55000000000000004">
      <c r="B20" s="10"/>
      <c r="C20" s="12"/>
      <c r="D20" s="11"/>
      <c r="E20" s="11"/>
      <c r="F20" s="11"/>
      <c r="G20" s="12"/>
      <c r="H20" s="13"/>
    </row>
    <row r="21" spans="2:16" ht="16" customHeight="1" x14ac:dyDescent="0.55000000000000004">
      <c r="B21" s="19" t="s">
        <v>363</v>
      </c>
      <c r="C21" s="19"/>
      <c r="D21" s="5"/>
      <c r="E21" s="5"/>
      <c r="F21" s="5"/>
    </row>
    <row r="22" spans="2:16" ht="16" customHeight="1" x14ac:dyDescent="0.55000000000000004">
      <c r="D22" s="5"/>
      <c r="E22" s="5"/>
      <c r="F22" s="5"/>
    </row>
    <row r="23" spans="2:16" ht="16" customHeight="1" x14ac:dyDescent="0.55000000000000004">
      <c r="E23" s="9"/>
    </row>
    <row r="51" ht="14.4" customHeight="1" x14ac:dyDescent="0.55000000000000004"/>
  </sheetData>
  <sheetProtection algorithmName="SHA-512" hashValue="0WOruMjQbxj/qoOvm3blsddB1e99F8QuAdCdb8f7LD8hWf9vpMJ9G6vmK13/wuNbOYOX/+Q+YO0n1ownEV3Ddw==" saltValue="mwR6rmlCA9eUD4PE5Q40nw==" spinCount="100000" sheet="1" objects="1" scenarios="1"/>
  <mergeCells count="1">
    <mergeCell ref="B3:H3"/>
  </mergeCells>
  <conditionalFormatting sqref="O6:O7 O9:O18">
    <cfRule type="cellIs" dxfId="13" priority="17" operator="notEqual">
      <formula>200</formula>
    </cfRule>
    <cfRule type="cellIs" dxfId="12" priority="18" operator="equal">
      <formula>200</formula>
    </cfRule>
  </conditionalFormatting>
  <conditionalFormatting sqref="C6">
    <cfRule type="expression" dxfId="11" priority="12">
      <formula>O6&lt;&gt;200</formula>
    </cfRule>
  </conditionalFormatting>
  <conditionalFormatting sqref="C7">
    <cfRule type="expression" dxfId="10" priority="11">
      <formula>O7&lt;&gt;200</formula>
    </cfRule>
  </conditionalFormatting>
  <conditionalFormatting sqref="C9">
    <cfRule type="expression" dxfId="9" priority="10">
      <formula>O9&lt;&gt;200</formula>
    </cfRule>
  </conditionalFormatting>
  <conditionalFormatting sqref="C10">
    <cfRule type="expression" dxfId="8" priority="9">
      <formula>O10&lt;&gt;200</formula>
    </cfRule>
  </conditionalFormatting>
  <conditionalFormatting sqref="C11">
    <cfRule type="expression" dxfId="7" priority="8">
      <formula>O11&lt;&gt;200</formula>
    </cfRule>
  </conditionalFormatting>
  <conditionalFormatting sqref="C12">
    <cfRule type="expression" dxfId="6" priority="7">
      <formula>O12&lt;&gt;200</formula>
    </cfRule>
  </conditionalFormatting>
  <conditionalFormatting sqref="C13">
    <cfRule type="expression" dxfId="5" priority="6">
      <formula>O13&lt;&gt;200</formula>
    </cfRule>
  </conditionalFormatting>
  <conditionalFormatting sqref="C14">
    <cfRule type="expression" dxfId="4" priority="5">
      <formula>O14&lt;&gt;200</formula>
    </cfRule>
  </conditionalFormatting>
  <conditionalFormatting sqref="C15">
    <cfRule type="expression" dxfId="3" priority="4">
      <formula>O15&lt;&gt;200</formula>
    </cfRule>
  </conditionalFormatting>
  <conditionalFormatting sqref="C16">
    <cfRule type="expression" dxfId="2" priority="3">
      <formula>O16&lt;&gt;200</formula>
    </cfRule>
  </conditionalFormatting>
  <conditionalFormatting sqref="C17">
    <cfRule type="expression" dxfId="1" priority="2">
      <formula>O17&lt;&gt;200</formula>
    </cfRule>
  </conditionalFormatting>
  <conditionalFormatting sqref="C18">
    <cfRule type="expression" dxfId="0" priority="1">
      <formula>O18&lt;&gt;200</formula>
    </cfRule>
  </conditionalFormatting>
  <dataValidations count="1">
    <dataValidation type="list" allowBlank="1" showInputMessage="1" showErrorMessage="1" sqref="D16:D18" xr:uid="{933F3E2C-C2FA-4D7D-A2FB-FCBF699993B8}">
      <formula1>Types</formula1>
    </dataValidation>
  </dataValidations>
  <hyperlinks>
    <hyperlink ref="P1" r:id="rId1" display="https://localhost:9443" xr:uid="{DDFBA681-55E9-44D5-A844-998027A75115}"/>
    <hyperlink ref="P19" r:id="rId2" xr:uid="{970D9B86-0060-4DD7-AAA2-70673679F0BA}"/>
  </hyperlinks>
  <pageMargins left="0.7" right="0.7" top="0.75" bottom="0.75" header="0.3" footer="0.3"/>
  <pageSetup orientation="portrait" horizontalDpi="4294967293" verticalDpi="4294967293" r:id="rId3"/>
  <drawing r:id="rId4"/>
  <extLst>
    <ext xmlns:x14="http://schemas.microsoft.com/office/spreadsheetml/2009/9/main" uri="{78C0D931-6437-407d-A8EE-F0AAD7539E65}">
      <x14:conditionalFormattings>
        <x14:conditionalFormatting xmlns:xm="http://schemas.microsoft.com/office/excel/2006/main">
          <x14:cfRule type="iconSet" priority="16" id="{EC0705E3-F93B-4AD3-B27D-552DA3FC1DC4}">
            <x14:iconSet iconSet="3Arrows" custom="1">
              <x14:cfvo type="percent">
                <xm:f>0</xm:f>
              </x14:cfvo>
              <x14:cfvo type="num">
                <xm:f>0</xm:f>
              </x14:cfvo>
              <x14:cfvo type="num">
                <xm:f>1</xm:f>
              </x14:cfvo>
              <x14:cfIcon iconSet="3Arrows" iconId="0"/>
              <x14:cfIcon iconSet="3Arrows" iconId="1"/>
              <x14:cfIcon iconSet="3Arrows" iconId="2"/>
            </x14:iconSet>
          </x14:cfRule>
          <xm:sqref>H6:H7 H9:H18</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38C0E-CB10-4B8D-B308-09ADEB6F2F4A}">
  <sheetPr codeName="Sheet3"/>
  <dimension ref="A1:A331"/>
  <sheetViews>
    <sheetView workbookViewId="0">
      <selection activeCell="A18" sqref="A18"/>
    </sheetView>
  </sheetViews>
  <sheetFormatPr defaultRowHeight="14.4" x14ac:dyDescent="0.55000000000000004"/>
  <cols>
    <col min="1" max="1" width="41.3671875" customWidth="1"/>
  </cols>
  <sheetData>
    <row r="1" spans="1:1" x14ac:dyDescent="0.55000000000000004">
      <c r="A1" t="s">
        <v>358</v>
      </c>
    </row>
    <row r="3" spans="1:1" x14ac:dyDescent="0.55000000000000004">
      <c r="A3" t="s">
        <v>38</v>
      </c>
    </row>
    <row r="4" spans="1:1" x14ac:dyDescent="0.55000000000000004">
      <c r="A4" t="s">
        <v>39</v>
      </c>
    </row>
    <row r="5" spans="1:1" x14ac:dyDescent="0.55000000000000004">
      <c r="A5" t="s">
        <v>40</v>
      </c>
    </row>
    <row r="6" spans="1:1" x14ac:dyDescent="0.55000000000000004">
      <c r="A6" t="s">
        <v>41</v>
      </c>
    </row>
    <row r="7" spans="1:1" x14ac:dyDescent="0.55000000000000004">
      <c r="A7" t="s">
        <v>42</v>
      </c>
    </row>
    <row r="8" spans="1:1" x14ac:dyDescent="0.55000000000000004">
      <c r="A8" t="s">
        <v>43</v>
      </c>
    </row>
    <row r="9" spans="1:1" x14ac:dyDescent="0.55000000000000004">
      <c r="A9" t="s">
        <v>44</v>
      </c>
    </row>
    <row r="10" spans="1:1" x14ac:dyDescent="0.55000000000000004">
      <c r="A10" t="s">
        <v>45</v>
      </c>
    </row>
    <row r="11" spans="1:1" x14ac:dyDescent="0.55000000000000004">
      <c r="A11" t="s">
        <v>46</v>
      </c>
    </row>
    <row r="12" spans="1:1" x14ac:dyDescent="0.55000000000000004">
      <c r="A12" t="s">
        <v>47</v>
      </c>
    </row>
    <row r="13" spans="1:1" x14ac:dyDescent="0.55000000000000004">
      <c r="A13" t="s">
        <v>48</v>
      </c>
    </row>
    <row r="14" spans="1:1" x14ac:dyDescent="0.55000000000000004">
      <c r="A14" t="s">
        <v>49</v>
      </c>
    </row>
    <row r="15" spans="1:1" x14ac:dyDescent="0.55000000000000004">
      <c r="A15" t="s">
        <v>50</v>
      </c>
    </row>
    <row r="16" spans="1:1" x14ac:dyDescent="0.55000000000000004">
      <c r="A16" t="s">
        <v>51</v>
      </c>
    </row>
    <row r="17" spans="1:1" x14ac:dyDescent="0.55000000000000004">
      <c r="A17" t="s">
        <v>52</v>
      </c>
    </row>
    <row r="18" spans="1:1" x14ac:dyDescent="0.55000000000000004">
      <c r="A18" t="s">
        <v>53</v>
      </c>
    </row>
    <row r="19" spans="1:1" x14ac:dyDescent="0.55000000000000004">
      <c r="A19" t="s">
        <v>54</v>
      </c>
    </row>
    <row r="20" spans="1:1" x14ac:dyDescent="0.55000000000000004">
      <c r="A20" t="s">
        <v>55</v>
      </c>
    </row>
    <row r="21" spans="1:1" x14ac:dyDescent="0.55000000000000004">
      <c r="A21" t="s">
        <v>10</v>
      </c>
    </row>
    <row r="22" spans="1:1" x14ac:dyDescent="0.55000000000000004">
      <c r="A22" t="s">
        <v>56</v>
      </c>
    </row>
    <row r="23" spans="1:1" x14ac:dyDescent="0.55000000000000004">
      <c r="A23" t="s">
        <v>57</v>
      </c>
    </row>
    <row r="24" spans="1:1" x14ac:dyDescent="0.55000000000000004">
      <c r="A24" t="s">
        <v>58</v>
      </c>
    </row>
    <row r="25" spans="1:1" x14ac:dyDescent="0.55000000000000004">
      <c r="A25" t="s">
        <v>59</v>
      </c>
    </row>
    <row r="26" spans="1:1" x14ac:dyDescent="0.55000000000000004">
      <c r="A26" t="s">
        <v>60</v>
      </c>
    </row>
    <row r="27" spans="1:1" x14ac:dyDescent="0.55000000000000004">
      <c r="A27" t="s">
        <v>61</v>
      </c>
    </row>
    <row r="28" spans="1:1" x14ac:dyDescent="0.55000000000000004">
      <c r="A28" t="s">
        <v>62</v>
      </c>
    </row>
    <row r="29" spans="1:1" x14ac:dyDescent="0.55000000000000004">
      <c r="A29" t="s">
        <v>63</v>
      </c>
    </row>
    <row r="30" spans="1:1" x14ac:dyDescent="0.55000000000000004">
      <c r="A30" t="s">
        <v>64</v>
      </c>
    </row>
    <row r="31" spans="1:1" x14ac:dyDescent="0.55000000000000004">
      <c r="A31" t="s">
        <v>65</v>
      </c>
    </row>
    <row r="32" spans="1:1" x14ac:dyDescent="0.55000000000000004">
      <c r="A32" t="s">
        <v>66</v>
      </c>
    </row>
    <row r="33" spans="1:1" x14ac:dyDescent="0.55000000000000004">
      <c r="A33" t="s">
        <v>67</v>
      </c>
    </row>
    <row r="34" spans="1:1" x14ac:dyDescent="0.55000000000000004">
      <c r="A34" t="s">
        <v>68</v>
      </c>
    </row>
    <row r="35" spans="1:1" x14ac:dyDescent="0.55000000000000004">
      <c r="A35" t="s">
        <v>69</v>
      </c>
    </row>
    <row r="36" spans="1:1" x14ac:dyDescent="0.55000000000000004">
      <c r="A36" t="s">
        <v>70</v>
      </c>
    </row>
    <row r="37" spans="1:1" x14ac:dyDescent="0.55000000000000004">
      <c r="A37" t="s">
        <v>71</v>
      </c>
    </row>
    <row r="38" spans="1:1" x14ac:dyDescent="0.55000000000000004">
      <c r="A38" t="s">
        <v>72</v>
      </c>
    </row>
    <row r="39" spans="1:1" x14ac:dyDescent="0.55000000000000004">
      <c r="A39" t="s">
        <v>73</v>
      </c>
    </row>
    <row r="40" spans="1:1" x14ac:dyDescent="0.55000000000000004">
      <c r="A40" t="s">
        <v>74</v>
      </c>
    </row>
    <row r="41" spans="1:1" x14ac:dyDescent="0.55000000000000004">
      <c r="A41" t="s">
        <v>75</v>
      </c>
    </row>
    <row r="42" spans="1:1" x14ac:dyDescent="0.55000000000000004">
      <c r="A42" t="s">
        <v>76</v>
      </c>
    </row>
    <row r="43" spans="1:1" x14ac:dyDescent="0.55000000000000004">
      <c r="A43" t="s">
        <v>77</v>
      </c>
    </row>
    <row r="44" spans="1:1" x14ac:dyDescent="0.55000000000000004">
      <c r="A44" t="s">
        <v>78</v>
      </c>
    </row>
    <row r="45" spans="1:1" x14ac:dyDescent="0.55000000000000004">
      <c r="A45" t="s">
        <v>79</v>
      </c>
    </row>
    <row r="46" spans="1:1" x14ac:dyDescent="0.55000000000000004">
      <c r="A46" t="s">
        <v>80</v>
      </c>
    </row>
    <row r="47" spans="1:1" x14ac:dyDescent="0.55000000000000004">
      <c r="A47" t="s">
        <v>81</v>
      </c>
    </row>
    <row r="48" spans="1:1" x14ac:dyDescent="0.55000000000000004">
      <c r="A48" t="s">
        <v>82</v>
      </c>
    </row>
    <row r="49" spans="1:1" x14ac:dyDescent="0.55000000000000004">
      <c r="A49" t="s">
        <v>83</v>
      </c>
    </row>
    <row r="50" spans="1:1" x14ac:dyDescent="0.55000000000000004">
      <c r="A50" t="s">
        <v>84</v>
      </c>
    </row>
    <row r="51" spans="1:1" x14ac:dyDescent="0.55000000000000004">
      <c r="A51" t="s">
        <v>85</v>
      </c>
    </row>
    <row r="52" spans="1:1" x14ac:dyDescent="0.55000000000000004">
      <c r="A52" t="s">
        <v>86</v>
      </c>
    </row>
    <row r="53" spans="1:1" x14ac:dyDescent="0.55000000000000004">
      <c r="A53" t="s">
        <v>87</v>
      </c>
    </row>
    <row r="54" spans="1:1" x14ac:dyDescent="0.55000000000000004">
      <c r="A54" t="s">
        <v>88</v>
      </c>
    </row>
    <row r="55" spans="1:1" x14ac:dyDescent="0.55000000000000004">
      <c r="A55" t="s">
        <v>89</v>
      </c>
    </row>
    <row r="56" spans="1:1" x14ac:dyDescent="0.55000000000000004">
      <c r="A56" t="s">
        <v>90</v>
      </c>
    </row>
    <row r="57" spans="1:1" x14ac:dyDescent="0.55000000000000004">
      <c r="A57" t="s">
        <v>8</v>
      </c>
    </row>
    <row r="58" spans="1:1" x14ac:dyDescent="0.55000000000000004">
      <c r="A58" t="s">
        <v>91</v>
      </c>
    </row>
    <row r="59" spans="1:1" x14ac:dyDescent="0.55000000000000004">
      <c r="A59" t="s">
        <v>92</v>
      </c>
    </row>
    <row r="60" spans="1:1" x14ac:dyDescent="0.55000000000000004">
      <c r="A60" t="s">
        <v>93</v>
      </c>
    </row>
    <row r="61" spans="1:1" x14ac:dyDescent="0.55000000000000004">
      <c r="A61" t="s">
        <v>94</v>
      </c>
    </row>
    <row r="62" spans="1:1" x14ac:dyDescent="0.55000000000000004">
      <c r="A62" t="s">
        <v>95</v>
      </c>
    </row>
    <row r="63" spans="1:1" x14ac:dyDescent="0.55000000000000004">
      <c r="A63" t="s">
        <v>96</v>
      </c>
    </row>
    <row r="64" spans="1:1" x14ac:dyDescent="0.55000000000000004">
      <c r="A64" t="s">
        <v>97</v>
      </c>
    </row>
    <row r="65" spans="1:1" x14ac:dyDescent="0.55000000000000004">
      <c r="A65" t="s">
        <v>98</v>
      </c>
    </row>
    <row r="66" spans="1:1" x14ac:dyDescent="0.55000000000000004">
      <c r="A66" t="s">
        <v>99</v>
      </c>
    </row>
    <row r="67" spans="1:1" x14ac:dyDescent="0.55000000000000004">
      <c r="A67" t="s">
        <v>100</v>
      </c>
    </row>
    <row r="68" spans="1:1" x14ac:dyDescent="0.55000000000000004">
      <c r="A68" t="s">
        <v>101</v>
      </c>
    </row>
    <row r="69" spans="1:1" x14ac:dyDescent="0.55000000000000004">
      <c r="A69" t="s">
        <v>102</v>
      </c>
    </row>
    <row r="70" spans="1:1" x14ac:dyDescent="0.55000000000000004">
      <c r="A70" t="s">
        <v>103</v>
      </c>
    </row>
    <row r="71" spans="1:1" x14ac:dyDescent="0.55000000000000004">
      <c r="A71" t="s">
        <v>104</v>
      </c>
    </row>
    <row r="72" spans="1:1" x14ac:dyDescent="0.55000000000000004">
      <c r="A72" t="s">
        <v>105</v>
      </c>
    </row>
    <row r="73" spans="1:1" x14ac:dyDescent="0.55000000000000004">
      <c r="A73" t="s">
        <v>106</v>
      </c>
    </row>
    <row r="74" spans="1:1" x14ac:dyDescent="0.55000000000000004">
      <c r="A74" t="s">
        <v>107</v>
      </c>
    </row>
    <row r="75" spans="1:1" x14ac:dyDescent="0.55000000000000004">
      <c r="A75" t="s">
        <v>108</v>
      </c>
    </row>
    <row r="76" spans="1:1" x14ac:dyDescent="0.55000000000000004">
      <c r="A76" t="s">
        <v>109</v>
      </c>
    </row>
    <row r="77" spans="1:1" x14ac:dyDescent="0.55000000000000004">
      <c r="A77" t="s">
        <v>110</v>
      </c>
    </row>
    <row r="78" spans="1:1" x14ac:dyDescent="0.55000000000000004">
      <c r="A78" t="s">
        <v>111</v>
      </c>
    </row>
    <row r="79" spans="1:1" x14ac:dyDescent="0.55000000000000004">
      <c r="A79" t="s">
        <v>112</v>
      </c>
    </row>
    <row r="80" spans="1:1" x14ac:dyDescent="0.55000000000000004">
      <c r="A80" t="s">
        <v>113</v>
      </c>
    </row>
    <row r="81" spans="1:1" x14ac:dyDescent="0.55000000000000004">
      <c r="A81" t="s">
        <v>21</v>
      </c>
    </row>
    <row r="82" spans="1:1" x14ac:dyDescent="0.55000000000000004">
      <c r="A82" t="s">
        <v>114</v>
      </c>
    </row>
    <row r="83" spans="1:1" x14ac:dyDescent="0.55000000000000004">
      <c r="A83" t="s">
        <v>115</v>
      </c>
    </row>
    <row r="84" spans="1:1" x14ac:dyDescent="0.55000000000000004">
      <c r="A84" t="s">
        <v>116</v>
      </c>
    </row>
    <row r="85" spans="1:1" x14ac:dyDescent="0.55000000000000004">
      <c r="A85" t="s">
        <v>117</v>
      </c>
    </row>
    <row r="86" spans="1:1" x14ac:dyDescent="0.55000000000000004">
      <c r="A86" t="s">
        <v>118</v>
      </c>
    </row>
    <row r="87" spans="1:1" x14ac:dyDescent="0.55000000000000004">
      <c r="A87" t="s">
        <v>119</v>
      </c>
    </row>
    <row r="88" spans="1:1" x14ac:dyDescent="0.55000000000000004">
      <c r="A88" t="s">
        <v>120</v>
      </c>
    </row>
    <row r="89" spans="1:1" x14ac:dyDescent="0.55000000000000004">
      <c r="A89" t="s">
        <v>121</v>
      </c>
    </row>
    <row r="90" spans="1:1" x14ac:dyDescent="0.55000000000000004">
      <c r="A90" t="s">
        <v>122</v>
      </c>
    </row>
    <row r="91" spans="1:1" x14ac:dyDescent="0.55000000000000004">
      <c r="A91" t="s">
        <v>123</v>
      </c>
    </row>
    <row r="92" spans="1:1" x14ac:dyDescent="0.55000000000000004">
      <c r="A92" t="s">
        <v>124</v>
      </c>
    </row>
    <row r="93" spans="1:1" x14ac:dyDescent="0.55000000000000004">
      <c r="A93" t="s">
        <v>125</v>
      </c>
    </row>
    <row r="94" spans="1:1" x14ac:dyDescent="0.55000000000000004">
      <c r="A94" t="s">
        <v>126</v>
      </c>
    </row>
    <row r="95" spans="1:1" x14ac:dyDescent="0.55000000000000004">
      <c r="A95" t="s">
        <v>127</v>
      </c>
    </row>
    <row r="96" spans="1:1" x14ac:dyDescent="0.55000000000000004">
      <c r="A96" t="s">
        <v>128</v>
      </c>
    </row>
    <row r="97" spans="1:1" x14ac:dyDescent="0.55000000000000004">
      <c r="A97" t="s">
        <v>129</v>
      </c>
    </row>
    <row r="98" spans="1:1" x14ac:dyDescent="0.55000000000000004">
      <c r="A98" t="s">
        <v>9</v>
      </c>
    </row>
    <row r="99" spans="1:1" x14ac:dyDescent="0.55000000000000004">
      <c r="A99" t="s">
        <v>130</v>
      </c>
    </row>
    <row r="100" spans="1:1" x14ac:dyDescent="0.55000000000000004">
      <c r="A100" t="s">
        <v>131</v>
      </c>
    </row>
    <row r="101" spans="1:1" x14ac:dyDescent="0.55000000000000004">
      <c r="A101" t="s">
        <v>132</v>
      </c>
    </row>
    <row r="102" spans="1:1" x14ac:dyDescent="0.55000000000000004">
      <c r="A102" t="s">
        <v>133</v>
      </c>
    </row>
    <row r="103" spans="1:1" x14ac:dyDescent="0.55000000000000004">
      <c r="A103" t="s">
        <v>134</v>
      </c>
    </row>
    <row r="104" spans="1:1" x14ac:dyDescent="0.55000000000000004">
      <c r="A104" t="s">
        <v>135</v>
      </c>
    </row>
    <row r="105" spans="1:1" x14ac:dyDescent="0.55000000000000004">
      <c r="A105" t="s">
        <v>136</v>
      </c>
    </row>
    <row r="106" spans="1:1" x14ac:dyDescent="0.55000000000000004">
      <c r="A106" t="s">
        <v>137</v>
      </c>
    </row>
    <row r="107" spans="1:1" x14ac:dyDescent="0.55000000000000004">
      <c r="A107" t="s">
        <v>138</v>
      </c>
    </row>
    <row r="108" spans="1:1" x14ac:dyDescent="0.55000000000000004">
      <c r="A108" t="s">
        <v>139</v>
      </c>
    </row>
    <row r="109" spans="1:1" x14ac:dyDescent="0.55000000000000004">
      <c r="A109" t="s">
        <v>140</v>
      </c>
    </row>
    <row r="110" spans="1:1" x14ac:dyDescent="0.55000000000000004">
      <c r="A110" t="s">
        <v>141</v>
      </c>
    </row>
    <row r="111" spans="1:1" x14ac:dyDescent="0.55000000000000004">
      <c r="A111" t="s">
        <v>142</v>
      </c>
    </row>
    <row r="112" spans="1:1" x14ac:dyDescent="0.55000000000000004">
      <c r="A112" t="s">
        <v>143</v>
      </c>
    </row>
    <row r="113" spans="1:1" x14ac:dyDescent="0.55000000000000004">
      <c r="A113" t="s">
        <v>144</v>
      </c>
    </row>
    <row r="114" spans="1:1" x14ac:dyDescent="0.55000000000000004">
      <c r="A114" t="s">
        <v>145</v>
      </c>
    </row>
    <row r="115" spans="1:1" x14ac:dyDescent="0.55000000000000004">
      <c r="A115" t="s">
        <v>146</v>
      </c>
    </row>
    <row r="116" spans="1:1" x14ac:dyDescent="0.55000000000000004">
      <c r="A116" t="s">
        <v>147</v>
      </c>
    </row>
    <row r="117" spans="1:1" x14ac:dyDescent="0.55000000000000004">
      <c r="A117" t="s">
        <v>148</v>
      </c>
    </row>
    <row r="118" spans="1:1" x14ac:dyDescent="0.55000000000000004">
      <c r="A118" t="s">
        <v>149</v>
      </c>
    </row>
    <row r="119" spans="1:1" x14ac:dyDescent="0.55000000000000004">
      <c r="A119" t="s">
        <v>150</v>
      </c>
    </row>
    <row r="120" spans="1:1" x14ac:dyDescent="0.55000000000000004">
      <c r="A120" t="s">
        <v>151</v>
      </c>
    </row>
    <row r="121" spans="1:1" x14ac:dyDescent="0.55000000000000004">
      <c r="A121" t="s">
        <v>152</v>
      </c>
    </row>
    <row r="122" spans="1:1" x14ac:dyDescent="0.55000000000000004">
      <c r="A122" t="s">
        <v>153</v>
      </c>
    </row>
    <row r="123" spans="1:1" x14ac:dyDescent="0.55000000000000004">
      <c r="A123" t="s">
        <v>154</v>
      </c>
    </row>
    <row r="124" spans="1:1" x14ac:dyDescent="0.55000000000000004">
      <c r="A124" t="s">
        <v>155</v>
      </c>
    </row>
    <row r="125" spans="1:1" x14ac:dyDescent="0.55000000000000004">
      <c r="A125" t="s">
        <v>156</v>
      </c>
    </row>
    <row r="126" spans="1:1" x14ac:dyDescent="0.55000000000000004">
      <c r="A126" t="s">
        <v>157</v>
      </c>
    </row>
    <row r="127" spans="1:1" x14ac:dyDescent="0.55000000000000004">
      <c r="A127" t="s">
        <v>158</v>
      </c>
    </row>
    <row r="128" spans="1:1" x14ac:dyDescent="0.55000000000000004">
      <c r="A128" t="s">
        <v>159</v>
      </c>
    </row>
    <row r="129" spans="1:1" x14ac:dyDescent="0.55000000000000004">
      <c r="A129" t="s">
        <v>160</v>
      </c>
    </row>
    <row r="130" spans="1:1" x14ac:dyDescent="0.55000000000000004">
      <c r="A130" t="s">
        <v>161</v>
      </c>
    </row>
    <row r="131" spans="1:1" x14ac:dyDescent="0.55000000000000004">
      <c r="A131" t="s">
        <v>162</v>
      </c>
    </row>
    <row r="132" spans="1:1" x14ac:dyDescent="0.55000000000000004">
      <c r="A132" t="s">
        <v>163</v>
      </c>
    </row>
    <row r="133" spans="1:1" x14ac:dyDescent="0.55000000000000004">
      <c r="A133" t="s">
        <v>164</v>
      </c>
    </row>
    <row r="134" spans="1:1" x14ac:dyDescent="0.55000000000000004">
      <c r="A134" t="s">
        <v>165</v>
      </c>
    </row>
    <row r="135" spans="1:1" x14ac:dyDescent="0.55000000000000004">
      <c r="A135" t="s">
        <v>166</v>
      </c>
    </row>
    <row r="136" spans="1:1" x14ac:dyDescent="0.55000000000000004">
      <c r="A136" t="s">
        <v>167</v>
      </c>
    </row>
    <row r="137" spans="1:1" x14ac:dyDescent="0.55000000000000004">
      <c r="A137" t="s">
        <v>168</v>
      </c>
    </row>
    <row r="138" spans="1:1" x14ac:dyDescent="0.55000000000000004">
      <c r="A138" t="s">
        <v>169</v>
      </c>
    </row>
    <row r="139" spans="1:1" x14ac:dyDescent="0.55000000000000004">
      <c r="A139" t="s">
        <v>170</v>
      </c>
    </row>
    <row r="140" spans="1:1" x14ac:dyDescent="0.55000000000000004">
      <c r="A140" t="s">
        <v>171</v>
      </c>
    </row>
    <row r="141" spans="1:1" x14ac:dyDescent="0.55000000000000004">
      <c r="A141" t="s">
        <v>172</v>
      </c>
    </row>
    <row r="142" spans="1:1" x14ac:dyDescent="0.55000000000000004">
      <c r="A142" t="s">
        <v>173</v>
      </c>
    </row>
    <row r="143" spans="1:1" x14ac:dyDescent="0.55000000000000004">
      <c r="A143" t="s">
        <v>174</v>
      </c>
    </row>
    <row r="144" spans="1:1" x14ac:dyDescent="0.55000000000000004">
      <c r="A144" t="s">
        <v>175</v>
      </c>
    </row>
    <row r="145" spans="1:1" x14ac:dyDescent="0.55000000000000004">
      <c r="A145" t="s">
        <v>176</v>
      </c>
    </row>
    <row r="146" spans="1:1" x14ac:dyDescent="0.55000000000000004">
      <c r="A146" t="s">
        <v>177</v>
      </c>
    </row>
    <row r="147" spans="1:1" x14ac:dyDescent="0.55000000000000004">
      <c r="A147" t="s">
        <v>178</v>
      </c>
    </row>
    <row r="148" spans="1:1" x14ac:dyDescent="0.55000000000000004">
      <c r="A148" t="s">
        <v>179</v>
      </c>
    </row>
    <row r="149" spans="1:1" x14ac:dyDescent="0.55000000000000004">
      <c r="A149" t="s">
        <v>180</v>
      </c>
    </row>
    <row r="150" spans="1:1" x14ac:dyDescent="0.55000000000000004">
      <c r="A150" t="s">
        <v>181</v>
      </c>
    </row>
    <row r="151" spans="1:1" x14ac:dyDescent="0.55000000000000004">
      <c r="A151" t="s">
        <v>182</v>
      </c>
    </row>
    <row r="152" spans="1:1" x14ac:dyDescent="0.55000000000000004">
      <c r="A152" t="s">
        <v>183</v>
      </c>
    </row>
    <row r="153" spans="1:1" x14ac:dyDescent="0.55000000000000004">
      <c r="A153" t="s">
        <v>184</v>
      </c>
    </row>
    <row r="154" spans="1:1" x14ac:dyDescent="0.55000000000000004">
      <c r="A154" t="s">
        <v>185</v>
      </c>
    </row>
    <row r="155" spans="1:1" x14ac:dyDescent="0.55000000000000004">
      <c r="A155" t="s">
        <v>186</v>
      </c>
    </row>
    <row r="156" spans="1:1" x14ac:dyDescent="0.55000000000000004">
      <c r="A156" t="s">
        <v>187</v>
      </c>
    </row>
    <row r="157" spans="1:1" x14ac:dyDescent="0.55000000000000004">
      <c r="A157" t="s">
        <v>188</v>
      </c>
    </row>
    <row r="158" spans="1:1" x14ac:dyDescent="0.55000000000000004">
      <c r="A158" t="s">
        <v>189</v>
      </c>
    </row>
    <row r="159" spans="1:1" x14ac:dyDescent="0.55000000000000004">
      <c r="A159" t="s">
        <v>190</v>
      </c>
    </row>
    <row r="160" spans="1:1" x14ac:dyDescent="0.55000000000000004">
      <c r="A160" t="s">
        <v>191</v>
      </c>
    </row>
    <row r="161" spans="1:1" x14ac:dyDescent="0.55000000000000004">
      <c r="A161" t="s">
        <v>192</v>
      </c>
    </row>
    <row r="162" spans="1:1" x14ac:dyDescent="0.55000000000000004">
      <c r="A162" t="s">
        <v>193</v>
      </c>
    </row>
    <row r="163" spans="1:1" x14ac:dyDescent="0.55000000000000004">
      <c r="A163" t="s">
        <v>194</v>
      </c>
    </row>
    <row r="164" spans="1:1" x14ac:dyDescent="0.55000000000000004">
      <c r="A164" t="s">
        <v>195</v>
      </c>
    </row>
    <row r="165" spans="1:1" x14ac:dyDescent="0.55000000000000004">
      <c r="A165" t="s">
        <v>196</v>
      </c>
    </row>
    <row r="166" spans="1:1" x14ac:dyDescent="0.55000000000000004">
      <c r="A166" t="s">
        <v>197</v>
      </c>
    </row>
    <row r="167" spans="1:1" x14ac:dyDescent="0.55000000000000004">
      <c r="A167" t="s">
        <v>198</v>
      </c>
    </row>
    <row r="168" spans="1:1" x14ac:dyDescent="0.55000000000000004">
      <c r="A168" t="s">
        <v>199</v>
      </c>
    </row>
    <row r="169" spans="1:1" x14ac:dyDescent="0.55000000000000004">
      <c r="A169" t="s">
        <v>200</v>
      </c>
    </row>
    <row r="170" spans="1:1" x14ac:dyDescent="0.55000000000000004">
      <c r="A170" t="s">
        <v>201</v>
      </c>
    </row>
    <row r="171" spans="1:1" x14ac:dyDescent="0.55000000000000004">
      <c r="A171" t="s">
        <v>202</v>
      </c>
    </row>
    <row r="172" spans="1:1" x14ac:dyDescent="0.55000000000000004">
      <c r="A172" t="s">
        <v>203</v>
      </c>
    </row>
    <row r="173" spans="1:1" x14ac:dyDescent="0.55000000000000004">
      <c r="A173" t="s">
        <v>204</v>
      </c>
    </row>
    <row r="174" spans="1:1" x14ac:dyDescent="0.55000000000000004">
      <c r="A174" t="s">
        <v>205</v>
      </c>
    </row>
    <row r="175" spans="1:1" x14ac:dyDescent="0.55000000000000004">
      <c r="A175" t="s">
        <v>206</v>
      </c>
    </row>
    <row r="176" spans="1:1" x14ac:dyDescent="0.55000000000000004">
      <c r="A176" t="s">
        <v>207</v>
      </c>
    </row>
    <row r="177" spans="1:1" x14ac:dyDescent="0.55000000000000004">
      <c r="A177" t="s">
        <v>208</v>
      </c>
    </row>
    <row r="178" spans="1:1" x14ac:dyDescent="0.55000000000000004">
      <c r="A178" t="s">
        <v>209</v>
      </c>
    </row>
    <row r="179" spans="1:1" x14ac:dyDescent="0.55000000000000004">
      <c r="A179" t="s">
        <v>210</v>
      </c>
    </row>
    <row r="180" spans="1:1" x14ac:dyDescent="0.55000000000000004">
      <c r="A180" t="s">
        <v>211</v>
      </c>
    </row>
    <row r="181" spans="1:1" x14ac:dyDescent="0.55000000000000004">
      <c r="A181" t="s">
        <v>212</v>
      </c>
    </row>
    <row r="182" spans="1:1" x14ac:dyDescent="0.55000000000000004">
      <c r="A182" t="s">
        <v>213</v>
      </c>
    </row>
    <row r="183" spans="1:1" x14ac:dyDescent="0.55000000000000004">
      <c r="A183" t="s">
        <v>214</v>
      </c>
    </row>
    <row r="184" spans="1:1" x14ac:dyDescent="0.55000000000000004">
      <c r="A184" t="s">
        <v>215</v>
      </c>
    </row>
    <row r="185" spans="1:1" x14ac:dyDescent="0.55000000000000004">
      <c r="A185" t="s">
        <v>216</v>
      </c>
    </row>
    <row r="186" spans="1:1" x14ac:dyDescent="0.55000000000000004">
      <c r="A186" t="s">
        <v>217</v>
      </c>
    </row>
    <row r="187" spans="1:1" x14ac:dyDescent="0.55000000000000004">
      <c r="A187" t="s">
        <v>218</v>
      </c>
    </row>
    <row r="188" spans="1:1" x14ac:dyDescent="0.55000000000000004">
      <c r="A188" t="s">
        <v>219</v>
      </c>
    </row>
    <row r="189" spans="1:1" x14ac:dyDescent="0.55000000000000004">
      <c r="A189" t="s">
        <v>220</v>
      </c>
    </row>
    <row r="190" spans="1:1" x14ac:dyDescent="0.55000000000000004">
      <c r="A190" t="s">
        <v>221</v>
      </c>
    </row>
    <row r="191" spans="1:1" x14ac:dyDescent="0.55000000000000004">
      <c r="A191" t="s">
        <v>222</v>
      </c>
    </row>
    <row r="192" spans="1:1" x14ac:dyDescent="0.55000000000000004">
      <c r="A192" t="s">
        <v>223</v>
      </c>
    </row>
    <row r="193" spans="1:1" x14ac:dyDescent="0.55000000000000004">
      <c r="A193" t="s">
        <v>224</v>
      </c>
    </row>
    <row r="194" spans="1:1" x14ac:dyDescent="0.55000000000000004">
      <c r="A194" t="s">
        <v>225</v>
      </c>
    </row>
    <row r="195" spans="1:1" x14ac:dyDescent="0.55000000000000004">
      <c r="A195" t="s">
        <v>226</v>
      </c>
    </row>
    <row r="196" spans="1:1" x14ac:dyDescent="0.55000000000000004">
      <c r="A196" t="s">
        <v>227</v>
      </c>
    </row>
    <row r="197" spans="1:1" x14ac:dyDescent="0.55000000000000004">
      <c r="A197" t="s">
        <v>228</v>
      </c>
    </row>
    <row r="198" spans="1:1" x14ac:dyDescent="0.55000000000000004">
      <c r="A198" t="s">
        <v>229</v>
      </c>
    </row>
    <row r="199" spans="1:1" x14ac:dyDescent="0.55000000000000004">
      <c r="A199" t="s">
        <v>230</v>
      </c>
    </row>
    <row r="200" spans="1:1" x14ac:dyDescent="0.55000000000000004">
      <c r="A200" t="s">
        <v>231</v>
      </c>
    </row>
    <row r="201" spans="1:1" x14ac:dyDescent="0.55000000000000004">
      <c r="A201" t="s">
        <v>232</v>
      </c>
    </row>
    <row r="202" spans="1:1" x14ac:dyDescent="0.55000000000000004">
      <c r="A202" t="s">
        <v>233</v>
      </c>
    </row>
    <row r="203" spans="1:1" x14ac:dyDescent="0.55000000000000004">
      <c r="A203" t="s">
        <v>23</v>
      </c>
    </row>
    <row r="204" spans="1:1" x14ac:dyDescent="0.55000000000000004">
      <c r="A204" t="s">
        <v>234</v>
      </c>
    </row>
    <row r="205" spans="1:1" x14ac:dyDescent="0.55000000000000004">
      <c r="A205" t="s">
        <v>235</v>
      </c>
    </row>
    <row r="206" spans="1:1" x14ac:dyDescent="0.55000000000000004">
      <c r="A206" t="s">
        <v>236</v>
      </c>
    </row>
    <row r="207" spans="1:1" x14ac:dyDescent="0.55000000000000004">
      <c r="A207" t="s">
        <v>237</v>
      </c>
    </row>
    <row r="208" spans="1:1" x14ac:dyDescent="0.55000000000000004">
      <c r="A208" t="s">
        <v>238</v>
      </c>
    </row>
    <row r="209" spans="1:1" x14ac:dyDescent="0.55000000000000004">
      <c r="A209" t="s">
        <v>239</v>
      </c>
    </row>
    <row r="210" spans="1:1" x14ac:dyDescent="0.55000000000000004">
      <c r="A210" t="s">
        <v>240</v>
      </c>
    </row>
    <row r="211" spans="1:1" x14ac:dyDescent="0.55000000000000004">
      <c r="A211" t="s">
        <v>241</v>
      </c>
    </row>
    <row r="212" spans="1:1" x14ac:dyDescent="0.55000000000000004">
      <c r="A212" t="s">
        <v>242</v>
      </c>
    </row>
    <row r="213" spans="1:1" x14ac:dyDescent="0.55000000000000004">
      <c r="A213" t="s">
        <v>243</v>
      </c>
    </row>
    <row r="214" spans="1:1" x14ac:dyDescent="0.55000000000000004">
      <c r="A214" t="s">
        <v>244</v>
      </c>
    </row>
    <row r="215" spans="1:1" x14ac:dyDescent="0.55000000000000004">
      <c r="A215" t="s">
        <v>245</v>
      </c>
    </row>
    <row r="216" spans="1:1" x14ac:dyDescent="0.55000000000000004">
      <c r="A216" t="s">
        <v>246</v>
      </c>
    </row>
    <row r="217" spans="1:1" x14ac:dyDescent="0.55000000000000004">
      <c r="A217" t="s">
        <v>247</v>
      </c>
    </row>
    <row r="218" spans="1:1" x14ac:dyDescent="0.55000000000000004">
      <c r="A218" t="s">
        <v>248</v>
      </c>
    </row>
    <row r="219" spans="1:1" x14ac:dyDescent="0.55000000000000004">
      <c r="A219" t="s">
        <v>249</v>
      </c>
    </row>
    <row r="220" spans="1:1" x14ac:dyDescent="0.55000000000000004">
      <c r="A220" t="s">
        <v>250</v>
      </c>
    </row>
    <row r="221" spans="1:1" x14ac:dyDescent="0.55000000000000004">
      <c r="A221" t="s">
        <v>251</v>
      </c>
    </row>
    <row r="222" spans="1:1" x14ac:dyDescent="0.55000000000000004">
      <c r="A222" t="s">
        <v>252</v>
      </c>
    </row>
    <row r="223" spans="1:1" x14ac:dyDescent="0.55000000000000004">
      <c r="A223" t="s">
        <v>253</v>
      </c>
    </row>
    <row r="224" spans="1:1" x14ac:dyDescent="0.55000000000000004">
      <c r="A224" t="s">
        <v>254</v>
      </c>
    </row>
    <row r="225" spans="1:1" x14ac:dyDescent="0.55000000000000004">
      <c r="A225" t="s">
        <v>255</v>
      </c>
    </row>
    <row r="226" spans="1:1" x14ac:dyDescent="0.55000000000000004">
      <c r="A226" t="s">
        <v>256</v>
      </c>
    </row>
    <row r="227" spans="1:1" x14ac:dyDescent="0.55000000000000004">
      <c r="A227" t="s">
        <v>257</v>
      </c>
    </row>
    <row r="228" spans="1:1" x14ac:dyDescent="0.55000000000000004">
      <c r="A228" t="s">
        <v>258</v>
      </c>
    </row>
    <row r="229" spans="1:1" x14ac:dyDescent="0.55000000000000004">
      <c r="A229" t="s">
        <v>259</v>
      </c>
    </row>
    <row r="230" spans="1:1" x14ac:dyDescent="0.55000000000000004">
      <c r="A230" t="s">
        <v>260</v>
      </c>
    </row>
    <row r="231" spans="1:1" x14ac:dyDescent="0.55000000000000004">
      <c r="A231" t="s">
        <v>261</v>
      </c>
    </row>
    <row r="232" spans="1:1" x14ac:dyDescent="0.55000000000000004">
      <c r="A232" t="s">
        <v>262</v>
      </c>
    </row>
    <row r="233" spans="1:1" x14ac:dyDescent="0.55000000000000004">
      <c r="A233" t="s">
        <v>263</v>
      </c>
    </row>
    <row r="234" spans="1:1" x14ac:dyDescent="0.55000000000000004">
      <c r="A234" t="s">
        <v>264</v>
      </c>
    </row>
    <row r="235" spans="1:1" x14ac:dyDescent="0.55000000000000004">
      <c r="A235" t="s">
        <v>265</v>
      </c>
    </row>
    <row r="236" spans="1:1" x14ac:dyDescent="0.55000000000000004">
      <c r="A236" t="s">
        <v>266</v>
      </c>
    </row>
    <row r="237" spans="1:1" x14ac:dyDescent="0.55000000000000004">
      <c r="A237" t="s">
        <v>267</v>
      </c>
    </row>
    <row r="238" spans="1:1" x14ac:dyDescent="0.55000000000000004">
      <c r="A238" t="s">
        <v>268</v>
      </c>
    </row>
    <row r="239" spans="1:1" x14ac:dyDescent="0.55000000000000004">
      <c r="A239" t="s">
        <v>269</v>
      </c>
    </row>
    <row r="240" spans="1:1" x14ac:dyDescent="0.55000000000000004">
      <c r="A240" t="s">
        <v>270</v>
      </c>
    </row>
    <row r="241" spans="1:1" x14ac:dyDescent="0.55000000000000004">
      <c r="A241" t="s">
        <v>271</v>
      </c>
    </row>
    <row r="242" spans="1:1" x14ac:dyDescent="0.55000000000000004">
      <c r="A242" t="s">
        <v>272</v>
      </c>
    </row>
    <row r="243" spans="1:1" x14ac:dyDescent="0.55000000000000004">
      <c r="A243" t="s">
        <v>273</v>
      </c>
    </row>
    <row r="244" spans="1:1" x14ac:dyDescent="0.55000000000000004">
      <c r="A244" t="s">
        <v>274</v>
      </c>
    </row>
    <row r="245" spans="1:1" x14ac:dyDescent="0.55000000000000004">
      <c r="A245" t="s">
        <v>275</v>
      </c>
    </row>
    <row r="246" spans="1:1" x14ac:dyDescent="0.55000000000000004">
      <c r="A246" t="s">
        <v>276</v>
      </c>
    </row>
    <row r="247" spans="1:1" x14ac:dyDescent="0.55000000000000004">
      <c r="A247" t="s">
        <v>277</v>
      </c>
    </row>
    <row r="248" spans="1:1" x14ac:dyDescent="0.55000000000000004">
      <c r="A248" t="s">
        <v>25</v>
      </c>
    </row>
    <row r="249" spans="1:1" x14ac:dyDescent="0.55000000000000004">
      <c r="A249" t="s">
        <v>278</v>
      </c>
    </row>
    <row r="250" spans="1:1" x14ac:dyDescent="0.55000000000000004">
      <c r="A250" t="s">
        <v>279</v>
      </c>
    </row>
    <row r="251" spans="1:1" x14ac:dyDescent="0.55000000000000004">
      <c r="A251" t="s">
        <v>280</v>
      </c>
    </row>
    <row r="252" spans="1:1" x14ac:dyDescent="0.55000000000000004">
      <c r="A252" t="s">
        <v>281</v>
      </c>
    </row>
    <row r="253" spans="1:1" x14ac:dyDescent="0.55000000000000004">
      <c r="A253" t="s">
        <v>282</v>
      </c>
    </row>
    <row r="254" spans="1:1" x14ac:dyDescent="0.55000000000000004">
      <c r="A254" t="s">
        <v>283</v>
      </c>
    </row>
    <row r="255" spans="1:1" x14ac:dyDescent="0.55000000000000004">
      <c r="A255" t="s">
        <v>284</v>
      </c>
    </row>
    <row r="256" spans="1:1" x14ac:dyDescent="0.55000000000000004">
      <c r="A256" t="s">
        <v>285</v>
      </c>
    </row>
    <row r="257" spans="1:1" x14ac:dyDescent="0.55000000000000004">
      <c r="A257" t="s">
        <v>286</v>
      </c>
    </row>
    <row r="258" spans="1:1" x14ac:dyDescent="0.55000000000000004">
      <c r="A258" t="s">
        <v>287</v>
      </c>
    </row>
    <row r="259" spans="1:1" x14ac:dyDescent="0.55000000000000004">
      <c r="A259" t="s">
        <v>288</v>
      </c>
    </row>
    <row r="260" spans="1:1" x14ac:dyDescent="0.55000000000000004">
      <c r="A260" t="s">
        <v>289</v>
      </c>
    </row>
    <row r="261" spans="1:1" x14ac:dyDescent="0.55000000000000004">
      <c r="A261" t="s">
        <v>290</v>
      </c>
    </row>
    <row r="262" spans="1:1" x14ac:dyDescent="0.55000000000000004">
      <c r="A262" t="s">
        <v>291</v>
      </c>
    </row>
    <row r="263" spans="1:1" x14ac:dyDescent="0.55000000000000004">
      <c r="A263" t="s">
        <v>292</v>
      </c>
    </row>
    <row r="264" spans="1:1" x14ac:dyDescent="0.55000000000000004">
      <c r="A264" t="s">
        <v>293</v>
      </c>
    </row>
    <row r="265" spans="1:1" x14ac:dyDescent="0.55000000000000004">
      <c r="A265" t="s">
        <v>294</v>
      </c>
    </row>
    <row r="266" spans="1:1" x14ac:dyDescent="0.55000000000000004">
      <c r="A266" t="s">
        <v>295</v>
      </c>
    </row>
    <row r="267" spans="1:1" x14ac:dyDescent="0.55000000000000004">
      <c r="A267" t="s">
        <v>296</v>
      </c>
    </row>
    <row r="268" spans="1:1" x14ac:dyDescent="0.55000000000000004">
      <c r="A268" t="s">
        <v>297</v>
      </c>
    </row>
    <row r="269" spans="1:1" x14ac:dyDescent="0.55000000000000004">
      <c r="A269" t="s">
        <v>298</v>
      </c>
    </row>
    <row r="270" spans="1:1" x14ac:dyDescent="0.55000000000000004">
      <c r="A270" t="s">
        <v>299</v>
      </c>
    </row>
    <row r="271" spans="1:1" x14ac:dyDescent="0.55000000000000004">
      <c r="A271" t="s">
        <v>300</v>
      </c>
    </row>
    <row r="272" spans="1:1" x14ac:dyDescent="0.55000000000000004">
      <c r="A272" t="s">
        <v>301</v>
      </c>
    </row>
    <row r="273" spans="1:1" x14ac:dyDescent="0.55000000000000004">
      <c r="A273" t="s">
        <v>302</v>
      </c>
    </row>
    <row r="274" spans="1:1" x14ac:dyDescent="0.55000000000000004">
      <c r="A274" t="s">
        <v>303</v>
      </c>
    </row>
    <row r="275" spans="1:1" x14ac:dyDescent="0.55000000000000004">
      <c r="A275" t="s">
        <v>304</v>
      </c>
    </row>
    <row r="276" spans="1:1" x14ac:dyDescent="0.55000000000000004">
      <c r="A276" t="s">
        <v>305</v>
      </c>
    </row>
    <row r="277" spans="1:1" x14ac:dyDescent="0.55000000000000004">
      <c r="A277" t="s">
        <v>306</v>
      </c>
    </row>
    <row r="278" spans="1:1" x14ac:dyDescent="0.55000000000000004">
      <c r="A278" t="s">
        <v>307</v>
      </c>
    </row>
    <row r="279" spans="1:1" x14ac:dyDescent="0.55000000000000004">
      <c r="A279" t="s">
        <v>308</v>
      </c>
    </row>
    <row r="280" spans="1:1" x14ac:dyDescent="0.55000000000000004">
      <c r="A280" t="s">
        <v>309</v>
      </c>
    </row>
    <row r="281" spans="1:1" x14ac:dyDescent="0.55000000000000004">
      <c r="A281" t="s">
        <v>310</v>
      </c>
    </row>
    <row r="282" spans="1:1" x14ac:dyDescent="0.55000000000000004">
      <c r="A282" t="s">
        <v>19</v>
      </c>
    </row>
    <row r="283" spans="1:1" x14ac:dyDescent="0.55000000000000004">
      <c r="A283" t="s">
        <v>311</v>
      </c>
    </row>
    <row r="284" spans="1:1" x14ac:dyDescent="0.55000000000000004">
      <c r="A284" t="s">
        <v>312</v>
      </c>
    </row>
    <row r="285" spans="1:1" x14ac:dyDescent="0.55000000000000004">
      <c r="A285" t="s">
        <v>313</v>
      </c>
    </row>
    <row r="286" spans="1:1" x14ac:dyDescent="0.55000000000000004">
      <c r="A286" t="s">
        <v>314</v>
      </c>
    </row>
    <row r="287" spans="1:1" x14ac:dyDescent="0.55000000000000004">
      <c r="A287" t="s">
        <v>315</v>
      </c>
    </row>
    <row r="288" spans="1:1" x14ac:dyDescent="0.55000000000000004">
      <c r="A288" t="s">
        <v>316</v>
      </c>
    </row>
    <row r="289" spans="1:1" x14ac:dyDescent="0.55000000000000004">
      <c r="A289" t="s">
        <v>317</v>
      </c>
    </row>
    <row r="290" spans="1:1" x14ac:dyDescent="0.55000000000000004">
      <c r="A290" t="s">
        <v>318</v>
      </c>
    </row>
    <row r="291" spans="1:1" x14ac:dyDescent="0.55000000000000004">
      <c r="A291" t="s">
        <v>319</v>
      </c>
    </row>
    <row r="292" spans="1:1" x14ac:dyDescent="0.55000000000000004">
      <c r="A292" t="s">
        <v>320</v>
      </c>
    </row>
    <row r="293" spans="1:1" x14ac:dyDescent="0.55000000000000004">
      <c r="A293" t="s">
        <v>321</v>
      </c>
    </row>
    <row r="294" spans="1:1" x14ac:dyDescent="0.55000000000000004">
      <c r="A294" t="s">
        <v>0</v>
      </c>
    </row>
    <row r="295" spans="1:1" x14ac:dyDescent="0.55000000000000004">
      <c r="A295" t="s">
        <v>322</v>
      </c>
    </row>
    <row r="296" spans="1:1" x14ac:dyDescent="0.55000000000000004">
      <c r="A296" t="s">
        <v>323</v>
      </c>
    </row>
    <row r="297" spans="1:1" x14ac:dyDescent="0.55000000000000004">
      <c r="A297" t="s">
        <v>324</v>
      </c>
    </row>
    <row r="298" spans="1:1" x14ac:dyDescent="0.55000000000000004">
      <c r="A298" t="s">
        <v>325</v>
      </c>
    </row>
    <row r="299" spans="1:1" x14ac:dyDescent="0.55000000000000004">
      <c r="A299" t="s">
        <v>326</v>
      </c>
    </row>
    <row r="300" spans="1:1" x14ac:dyDescent="0.55000000000000004">
      <c r="A300" t="s">
        <v>327</v>
      </c>
    </row>
    <row r="301" spans="1:1" x14ac:dyDescent="0.55000000000000004">
      <c r="A301" t="s">
        <v>328</v>
      </c>
    </row>
    <row r="302" spans="1:1" x14ac:dyDescent="0.55000000000000004">
      <c r="A302" t="s">
        <v>2</v>
      </c>
    </row>
    <row r="303" spans="1:1" x14ac:dyDescent="0.55000000000000004">
      <c r="A303" t="s">
        <v>329</v>
      </c>
    </row>
    <row r="304" spans="1:1" x14ac:dyDescent="0.55000000000000004">
      <c r="A304" t="s">
        <v>330</v>
      </c>
    </row>
    <row r="305" spans="1:1" x14ac:dyDescent="0.55000000000000004">
      <c r="A305" t="s">
        <v>331</v>
      </c>
    </row>
    <row r="306" spans="1:1" x14ac:dyDescent="0.55000000000000004">
      <c r="A306" t="s">
        <v>332</v>
      </c>
    </row>
    <row r="307" spans="1:1" x14ac:dyDescent="0.55000000000000004">
      <c r="A307" t="s">
        <v>333</v>
      </c>
    </row>
    <row r="308" spans="1:1" x14ac:dyDescent="0.55000000000000004">
      <c r="A308" t="s">
        <v>334</v>
      </c>
    </row>
    <row r="309" spans="1:1" x14ac:dyDescent="0.55000000000000004">
      <c r="A309" t="s">
        <v>335</v>
      </c>
    </row>
    <row r="310" spans="1:1" x14ac:dyDescent="0.55000000000000004">
      <c r="A310" t="s">
        <v>336</v>
      </c>
    </row>
    <row r="311" spans="1:1" x14ac:dyDescent="0.55000000000000004">
      <c r="A311" t="s">
        <v>337</v>
      </c>
    </row>
    <row r="312" spans="1:1" x14ac:dyDescent="0.55000000000000004">
      <c r="A312" t="s">
        <v>338</v>
      </c>
    </row>
    <row r="313" spans="1:1" x14ac:dyDescent="0.55000000000000004">
      <c r="A313" t="s">
        <v>339</v>
      </c>
    </row>
    <row r="314" spans="1:1" x14ac:dyDescent="0.55000000000000004">
      <c r="A314" t="s">
        <v>340</v>
      </c>
    </row>
    <row r="315" spans="1:1" x14ac:dyDescent="0.55000000000000004">
      <c r="A315" t="s">
        <v>341</v>
      </c>
    </row>
    <row r="316" spans="1:1" x14ac:dyDescent="0.55000000000000004">
      <c r="A316" t="s">
        <v>342</v>
      </c>
    </row>
    <row r="317" spans="1:1" x14ac:dyDescent="0.55000000000000004">
      <c r="A317" t="s">
        <v>343</v>
      </c>
    </row>
    <row r="318" spans="1:1" x14ac:dyDescent="0.55000000000000004">
      <c r="A318" t="s">
        <v>344</v>
      </c>
    </row>
    <row r="319" spans="1:1" x14ac:dyDescent="0.55000000000000004">
      <c r="A319" t="s">
        <v>345</v>
      </c>
    </row>
    <row r="320" spans="1:1" x14ac:dyDescent="0.55000000000000004">
      <c r="A320" t="s">
        <v>346</v>
      </c>
    </row>
    <row r="321" spans="1:1" x14ac:dyDescent="0.55000000000000004">
      <c r="A321" t="s">
        <v>347</v>
      </c>
    </row>
    <row r="322" spans="1:1" x14ac:dyDescent="0.55000000000000004">
      <c r="A322" t="s">
        <v>348</v>
      </c>
    </row>
    <row r="323" spans="1:1" x14ac:dyDescent="0.55000000000000004">
      <c r="A323" t="s">
        <v>349</v>
      </c>
    </row>
    <row r="324" spans="1:1" x14ac:dyDescent="0.55000000000000004">
      <c r="A324" t="s">
        <v>350</v>
      </c>
    </row>
    <row r="325" spans="1:1" x14ac:dyDescent="0.55000000000000004">
      <c r="A325" t="s">
        <v>351</v>
      </c>
    </row>
    <row r="326" spans="1:1" x14ac:dyDescent="0.55000000000000004">
      <c r="A326" t="s">
        <v>352</v>
      </c>
    </row>
    <row r="327" spans="1:1" x14ac:dyDescent="0.55000000000000004">
      <c r="A327" t="s">
        <v>353</v>
      </c>
    </row>
    <row r="328" spans="1:1" x14ac:dyDescent="0.55000000000000004">
      <c r="A328" t="s">
        <v>354</v>
      </c>
    </row>
    <row r="329" spans="1:1" x14ac:dyDescent="0.55000000000000004">
      <c r="A329" t="s">
        <v>355</v>
      </c>
    </row>
    <row r="330" spans="1:1" x14ac:dyDescent="0.55000000000000004">
      <c r="A330" t="s">
        <v>356</v>
      </c>
    </row>
    <row r="331" spans="1:1" x14ac:dyDescent="0.55000000000000004">
      <c r="A331" t="s">
        <v>357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C11"/>
  <sheetViews>
    <sheetView topLeftCell="A4" workbookViewId="0">
      <selection activeCell="C11" sqref="C11"/>
    </sheetView>
  </sheetViews>
  <sheetFormatPr defaultRowHeight="14.4" x14ac:dyDescent="0.55000000000000004"/>
  <cols>
    <col min="1" max="1" width="7.26171875" customWidth="1"/>
    <col min="2" max="2" width="21.89453125" customWidth="1"/>
    <col min="3" max="3" width="84.15625" customWidth="1"/>
    <col min="4" max="4" width="39.578125" customWidth="1"/>
    <col min="5" max="5" width="4.15625" customWidth="1"/>
    <col min="6" max="6" width="21.68359375" customWidth="1"/>
  </cols>
  <sheetData>
    <row r="2" spans="1:3" x14ac:dyDescent="0.55000000000000004">
      <c r="A2" t="s">
        <v>0</v>
      </c>
      <c r="B2" s="1" t="s">
        <v>2</v>
      </c>
    </row>
    <row r="8" spans="1:3" ht="177.3" customHeight="1" x14ac:dyDescent="0.55000000000000004">
      <c r="C8" s="2"/>
    </row>
    <row r="9" spans="1:3" ht="149.69999999999999" customHeight="1" x14ac:dyDescent="0.55000000000000004">
      <c r="C9" s="4" t="s">
        <v>4</v>
      </c>
    </row>
    <row r="11" spans="1:3" x14ac:dyDescent="0.55000000000000004">
      <c r="C11" s="3" t="s">
        <v>1</v>
      </c>
    </row>
  </sheetData>
  <hyperlinks>
    <hyperlink ref="C11" r:id="rId1" xr:uid="{A5DF2B73-3704-4A1E-9F6D-E3B9B8C775A8}"/>
  </hyperlinks>
  <pageMargins left="0.7" right="0.7" top="0.75" bottom="0.75" header="0.3" footer="0.3"/>
  <pageSetup orientation="portrait" horizontalDpi="4294967293" verticalDpi="4294967293" r:id="rId2"/>
  <drawing r:id="rId3"/>
  <legacyDrawing r:id="rId4"/>
  <controls>
    <mc:AlternateContent xmlns:mc="http://schemas.openxmlformats.org/markup-compatibility/2006">
      <mc:Choice Requires="x14">
        <control shapeId="1027" r:id="rId5" name="CommandButton2">
          <controlPr defaultSize="0" autoLine="0" r:id="rId6">
            <anchor moveWithCells="1">
              <from>
                <xdr:col>2</xdr:col>
                <xdr:colOff>1139190</xdr:colOff>
                <xdr:row>3</xdr:row>
                <xdr:rowOff>87630</xdr:rowOff>
              </from>
              <to>
                <xdr:col>2</xdr:col>
                <xdr:colOff>2708910</xdr:colOff>
                <xdr:row>5</xdr:row>
                <xdr:rowOff>76200</xdr:rowOff>
              </to>
            </anchor>
          </controlPr>
        </control>
      </mc:Choice>
      <mc:Fallback>
        <control shapeId="1027" r:id="rId5" name="CommandButton2"/>
      </mc:Fallback>
    </mc:AlternateContent>
    <mc:AlternateContent xmlns:mc="http://schemas.openxmlformats.org/markup-compatibility/2006">
      <mc:Choice Requires="x14">
        <control shapeId="1025" r:id="rId7" name="CommandButton1">
          <controlPr defaultSize="0" autoLine="0" r:id="rId8">
            <anchor moveWithCells="1">
              <from>
                <xdr:col>2</xdr:col>
                <xdr:colOff>1150620</xdr:colOff>
                <xdr:row>0</xdr:row>
                <xdr:rowOff>114300</xdr:rowOff>
              </from>
              <to>
                <xdr:col>2</xdr:col>
                <xdr:colOff>2720340</xdr:colOff>
                <xdr:row>2</xdr:row>
                <xdr:rowOff>102870</xdr:rowOff>
              </to>
            </anchor>
          </controlPr>
        </control>
      </mc:Choice>
      <mc:Fallback>
        <control shapeId="1025" r:id="rId7"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Start</vt:lpstr>
      <vt:lpstr>1. Add</vt:lpstr>
      <vt:lpstr>2. Fill</vt:lpstr>
      <vt:lpstr>3. Use</vt:lpstr>
      <vt:lpstr>Types</vt:lpstr>
      <vt:lpstr>Sheet1</vt:lpstr>
      <vt:lpstr>Response</vt:lpstr>
      <vt:lpstr>Status</vt:lpstr>
      <vt:lpstr>Types</vt:lpstr>
    </vt:vector>
  </TitlesOfParts>
  <Company>Deon Pollard - SENYA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Balance Sheet that connects to IBM IGC for values</dc:subject>
  <dc:creator>Deon</dc:creator>
  <dc:description>IGC BalanceSheet</dc:description>
  <cp:lastModifiedBy>Deon Pollard</cp:lastModifiedBy>
  <dcterms:created xsi:type="dcterms:W3CDTF">2013-01-22T09:06:43Z</dcterms:created>
  <dcterms:modified xsi:type="dcterms:W3CDTF">2018-12-05T09:45:38Z</dcterms:modified>
</cp:coreProperties>
</file>